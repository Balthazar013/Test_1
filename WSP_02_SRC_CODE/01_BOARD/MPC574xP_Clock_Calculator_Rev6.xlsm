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730" codeName="{91B80F79-697F-C00D-A1F8-6C9A07846A5C}"/>
  <workbookPr codeName="ThisWorkbook"/>
  <mc:AlternateContent xmlns:mc="http://schemas.openxmlformats.org/markup-compatibility/2006">
    <mc:Choice Requires="x15">
      <x15ac:absPath xmlns:x15ac="http://schemas.microsoft.com/office/spreadsheetml/2010/11/ac" url="C:\Users\ksteinga\Documents\"/>
    </mc:Choice>
  </mc:AlternateContent>
  <bookViews>
    <workbookView xWindow="0" yWindow="0" windowWidth="23040" windowHeight="9636" xr2:uid="{00000000-000D-0000-FFFF-FFFF00000000}"/>
  </bookViews>
  <sheets>
    <sheet name="Tree" sheetId="6" r:id="rId1"/>
    <sheet name="Oscillator Control" sheetId="10" r:id="rId2"/>
    <sheet name="Peripheral Domains" sheetId="7" r:id="rId3"/>
    <sheet name="LFAST Clocking" sheetId="12" r:id="rId4"/>
    <sheet name="PLL0" sheetId="8" r:id="rId5"/>
    <sheet name="pll0_phi" sheetId="3" r:id="rId6"/>
    <sheet name="pll0_phi1" sheetId="4" r:id="rId7"/>
    <sheet name="PLL1" sheetId="9" r:id="rId8"/>
    <sheet name="pll1_phi" sheetId="1" r:id="rId9"/>
    <sheet name="Summary" sheetId="11" r:id="rId10"/>
    <sheet name="Limits" sheetId="2" r:id="rId11"/>
  </sheets>
  <calcPr calcId="171027"/>
</workbook>
</file>

<file path=xl/calcChain.xml><?xml version="1.0" encoding="utf-8"?>
<calcChain xmlns="http://schemas.openxmlformats.org/spreadsheetml/2006/main">
  <c r="C11" i="9" l="1"/>
  <c r="S17" i="8"/>
  <c r="B31" i="11" l="1"/>
  <c r="R25" i="7" l="1"/>
  <c r="L29" i="11" l="1"/>
  <c r="L16" i="11"/>
  <c r="L28" i="11" l="1"/>
  <c r="L66" i="11" l="1"/>
  <c r="L57" i="11"/>
  <c r="L52" i="11"/>
  <c r="L51" i="11"/>
  <c r="L47" i="11"/>
  <c r="L48" i="11"/>
  <c r="L41" i="11"/>
  <c r="L40" i="11"/>
  <c r="L32" i="11" l="1"/>
  <c r="L38" i="11"/>
  <c r="L37" i="11"/>
  <c r="L36" i="11"/>
  <c r="L35" i="11"/>
  <c r="L34" i="11"/>
  <c r="L33" i="11"/>
  <c r="L30" i="11"/>
  <c r="L27" i="11"/>
  <c r="B30" i="11"/>
  <c r="L26" i="11" s="1"/>
  <c r="L23" i="11"/>
  <c r="L22" i="11"/>
  <c r="L21" i="11"/>
  <c r="L20" i="11"/>
  <c r="L19" i="11"/>
  <c r="L18" i="11"/>
  <c r="L17" i="11"/>
  <c r="L15" i="11"/>
  <c r="L12" i="11"/>
  <c r="L9" i="11" l="1"/>
  <c r="L8" i="11" l="1"/>
  <c r="B33" i="11" l="1"/>
  <c r="B32" i="11"/>
  <c r="U4" i="3" l="1"/>
  <c r="B29" i="11"/>
  <c r="L25" i="11" s="1"/>
  <c r="B28" i="11"/>
  <c r="L14" i="11" s="1"/>
  <c r="B27" i="11"/>
  <c r="B26" i="11"/>
  <c r="L64" i="11" s="1"/>
  <c r="B25" i="11"/>
  <c r="B24" i="11"/>
  <c r="L61" i="11" s="1"/>
  <c r="B23" i="11"/>
  <c r="B22" i="11"/>
  <c r="L58" i="11" s="1"/>
  <c r="B21" i="11"/>
  <c r="B20" i="11"/>
  <c r="L55" i="11" s="1"/>
  <c r="B19" i="11"/>
  <c r="L11" i="11" s="1"/>
  <c r="B18" i="11"/>
  <c r="L10" i="11" s="1"/>
  <c r="B17" i="11"/>
  <c r="B16" i="11"/>
  <c r="B15" i="11"/>
  <c r="B14" i="11"/>
  <c r="B13" i="11"/>
  <c r="B12" i="11"/>
  <c r="B11" i="11" l="1"/>
  <c r="L43" i="11" s="1"/>
  <c r="B10" i="11" l="1"/>
  <c r="B9" i="11"/>
  <c r="B8" i="11"/>
  <c r="M13" i="10" l="1"/>
  <c r="B22" i="6" s="1"/>
  <c r="D8" i="6" s="1"/>
  <c r="I9" i="11" l="1"/>
  <c r="AA51" i="6"/>
  <c r="B57" i="6"/>
  <c r="V8" i="4"/>
  <c r="V7" i="4"/>
  <c r="E26" i="6" l="1"/>
  <c r="E29" i="6"/>
  <c r="P6" i="7" l="1"/>
  <c r="I8" i="11"/>
  <c r="C11" i="8"/>
  <c r="S2" i="1"/>
  <c r="V4" i="4"/>
  <c r="V3" i="4"/>
  <c r="U3" i="3"/>
  <c r="E12" i="8" l="1"/>
  <c r="I11" i="8" s="1"/>
  <c r="P114" i="7"/>
  <c r="I65" i="11" s="1"/>
  <c r="I58" i="11"/>
  <c r="I54" i="11"/>
  <c r="I61" i="11"/>
  <c r="I56" i="11"/>
  <c r="S6" i="1"/>
  <c r="S5" i="1"/>
  <c r="U2" i="3" l="1"/>
  <c r="M11" i="8" l="1"/>
  <c r="D14" i="3"/>
  <c r="S11" i="8" l="1"/>
  <c r="G22" i="6" s="1"/>
  <c r="P42" i="6" l="1"/>
  <c r="AA42" i="6" s="1"/>
  <c r="E52" i="6"/>
  <c r="L13" i="11"/>
  <c r="O56" i="6"/>
  <c r="AA56" i="6" s="1"/>
  <c r="I25" i="11" s="1"/>
  <c r="P27" i="6"/>
  <c r="AA27" i="6" s="1"/>
  <c r="I20" i="11" s="1"/>
  <c r="O53" i="6"/>
  <c r="P24" i="6"/>
  <c r="AA24" i="6" s="1"/>
  <c r="I19" i="11" s="1"/>
  <c r="P21" i="6"/>
  <c r="AA21" i="6" s="1"/>
  <c r="I18" i="11" s="1"/>
  <c r="I10" i="11"/>
  <c r="G17" i="6"/>
  <c r="I11" i="11" s="1"/>
  <c r="V2" i="4"/>
  <c r="B14" i="3"/>
  <c r="D15" i="1"/>
  <c r="B17" i="1"/>
  <c r="C18" i="1"/>
  <c r="B18" i="1" s="1"/>
  <c r="B17" i="4"/>
  <c r="D15" i="4"/>
  <c r="D12" i="3"/>
  <c r="C15" i="3"/>
  <c r="D15" i="3" s="1"/>
  <c r="C18" i="4"/>
  <c r="C19" i="4" s="1"/>
  <c r="C20" i="4" s="1"/>
  <c r="C21" i="4" s="1"/>
  <c r="C22" i="4" s="1"/>
  <c r="C23" i="4" s="1"/>
  <c r="C24" i="4" s="1"/>
  <c r="C25" i="4" s="1"/>
  <c r="C26" i="4" s="1"/>
  <c r="C27" i="4" s="1"/>
  <c r="C28" i="4" s="1"/>
  <c r="B28" i="4" s="1"/>
  <c r="E16" i="4"/>
  <c r="E15" i="4" s="1"/>
  <c r="V6" i="4"/>
  <c r="V5" i="4"/>
  <c r="E13" i="3"/>
  <c r="U6" i="3"/>
  <c r="U5" i="3"/>
  <c r="S4" i="1"/>
  <c r="S3" i="1"/>
  <c r="E16" i="1"/>
  <c r="E15" i="1" s="1"/>
  <c r="S52" i="6" l="1"/>
  <c r="W52" i="6" s="1"/>
  <c r="I29" i="11"/>
  <c r="B51" i="6"/>
  <c r="L46" i="11"/>
  <c r="L44" i="11"/>
  <c r="L50" i="11"/>
  <c r="L45" i="11"/>
  <c r="L53" i="11"/>
  <c r="I23" i="11"/>
  <c r="I22" i="11"/>
  <c r="L56" i="11"/>
  <c r="B18" i="4"/>
  <c r="B19" i="4"/>
  <c r="B22" i="4"/>
  <c r="E14" i="3"/>
  <c r="E15" i="3"/>
  <c r="B23" i="4"/>
  <c r="E12" i="9"/>
  <c r="I11" i="9" s="1"/>
  <c r="Q11" i="9" s="1"/>
  <c r="U10" i="9" s="1"/>
  <c r="D17" i="4"/>
  <c r="D18" i="4"/>
  <c r="D20" i="4"/>
  <c r="E18" i="4"/>
  <c r="D21" i="4"/>
  <c r="D19" i="4"/>
  <c r="E20" i="4"/>
  <c r="E24" i="4"/>
  <c r="E26" i="4"/>
  <c r="E22" i="4"/>
  <c r="D25" i="4"/>
  <c r="E19" i="4"/>
  <c r="D22" i="4"/>
  <c r="D23" i="4"/>
  <c r="E27" i="4"/>
  <c r="D28" i="4"/>
  <c r="E17" i="4"/>
  <c r="E23" i="4"/>
  <c r="E21" i="4"/>
  <c r="D26" i="4"/>
  <c r="D27" i="4"/>
  <c r="E28" i="4"/>
  <c r="E25" i="4"/>
  <c r="D24" i="4"/>
  <c r="E34" i="7"/>
  <c r="I44" i="11" s="1"/>
  <c r="B20" i="4"/>
  <c r="B24" i="4"/>
  <c r="B21" i="4"/>
  <c r="B25" i="4"/>
  <c r="B26" i="4"/>
  <c r="B27" i="4"/>
  <c r="R45" i="7"/>
  <c r="F10" i="1"/>
  <c r="R6" i="7"/>
  <c r="I74" i="11"/>
  <c r="E36" i="7"/>
  <c r="E15" i="7"/>
  <c r="I32" i="11" s="1"/>
  <c r="F16" i="1"/>
  <c r="C19" i="1"/>
  <c r="C20" i="1" s="1"/>
  <c r="C21" i="1" s="1"/>
  <c r="B15" i="3"/>
  <c r="F13" i="3"/>
  <c r="E12" i="3"/>
  <c r="B20" i="1"/>
  <c r="C16" i="3"/>
  <c r="F16" i="4"/>
  <c r="I24" i="11" l="1"/>
  <c r="L49" i="11"/>
  <c r="AH17" i="12"/>
  <c r="AD17" i="12" s="1"/>
  <c r="U17" i="12" s="1"/>
  <c r="I93" i="11"/>
  <c r="R19" i="7"/>
  <c r="I71" i="11"/>
  <c r="I70" i="11"/>
  <c r="B19" i="1"/>
  <c r="I46" i="11"/>
  <c r="I45" i="11"/>
  <c r="Y10" i="9"/>
  <c r="G14" i="6" s="1"/>
  <c r="D16" i="3"/>
  <c r="E16" i="3"/>
  <c r="F16" i="3"/>
  <c r="F15" i="3"/>
  <c r="F14" i="3"/>
  <c r="F15" i="4"/>
  <c r="F27" i="4"/>
  <c r="F18" i="4"/>
  <c r="F19" i="4"/>
  <c r="F22" i="4"/>
  <c r="F28" i="4"/>
  <c r="F20" i="4"/>
  <c r="F25" i="4"/>
  <c r="F21" i="4"/>
  <c r="F17" i="4"/>
  <c r="F23" i="4"/>
  <c r="F26" i="4"/>
  <c r="F24" i="4"/>
  <c r="C22" i="1"/>
  <c r="E22" i="1" s="1"/>
  <c r="B21" i="1"/>
  <c r="M114" i="7"/>
  <c r="M6" i="7"/>
  <c r="E18" i="1"/>
  <c r="E19" i="1"/>
  <c r="F18" i="1"/>
  <c r="D19" i="1"/>
  <c r="F19" i="1"/>
  <c r="E20" i="1"/>
  <c r="D22" i="1"/>
  <c r="F21" i="1"/>
  <c r="F20" i="1"/>
  <c r="D20" i="1"/>
  <c r="F22" i="1"/>
  <c r="D21" i="1"/>
  <c r="E17" i="1"/>
  <c r="E21" i="1"/>
  <c r="D17" i="1"/>
  <c r="F17" i="1"/>
  <c r="D18" i="1"/>
  <c r="F15" i="1"/>
  <c r="G16" i="1"/>
  <c r="C23" i="1"/>
  <c r="D23" i="1" s="1"/>
  <c r="B22" i="1"/>
  <c r="B16" i="3"/>
  <c r="G13" i="3"/>
  <c r="F12" i="3"/>
  <c r="C17" i="3"/>
  <c r="G16" i="4"/>
  <c r="O79" i="6" l="1"/>
  <c r="AA79" i="6" s="1"/>
  <c r="R33" i="7" s="1"/>
  <c r="O65" i="6"/>
  <c r="AA65" i="6" s="1"/>
  <c r="P33" i="6"/>
  <c r="AA33" i="6" s="1"/>
  <c r="AA15" i="6"/>
  <c r="AA10" i="6"/>
  <c r="I12" i="11"/>
  <c r="L24" i="11"/>
  <c r="I47" i="11"/>
  <c r="I39" i="11"/>
  <c r="I37" i="11"/>
  <c r="I48" i="11"/>
  <c r="I36" i="11"/>
  <c r="I49" i="11"/>
  <c r="I40" i="11"/>
  <c r="F83" i="12"/>
  <c r="K82" i="12" s="1"/>
  <c r="R82" i="12" s="1"/>
  <c r="V82" i="12" s="1"/>
  <c r="AA83" i="12" s="1"/>
  <c r="G15" i="3"/>
  <c r="G16" i="3"/>
  <c r="G17" i="3"/>
  <c r="G14" i="3"/>
  <c r="D17" i="3"/>
  <c r="E17" i="3"/>
  <c r="G27" i="4"/>
  <c r="G21" i="4"/>
  <c r="G18" i="4"/>
  <c r="G20" i="4"/>
  <c r="G26" i="4"/>
  <c r="G25" i="4"/>
  <c r="G28" i="4"/>
  <c r="G24" i="4"/>
  <c r="G17" i="4"/>
  <c r="G19" i="4"/>
  <c r="G22" i="4"/>
  <c r="G23" i="4"/>
  <c r="F17" i="3"/>
  <c r="G15" i="4"/>
  <c r="G19" i="1"/>
  <c r="G17" i="1"/>
  <c r="G23" i="1"/>
  <c r="G20" i="1"/>
  <c r="G18" i="1"/>
  <c r="G21" i="1"/>
  <c r="G22" i="1"/>
  <c r="E23" i="1"/>
  <c r="F23" i="1"/>
  <c r="H16" i="1"/>
  <c r="G15" i="1"/>
  <c r="C24" i="1"/>
  <c r="G24" i="1" s="1"/>
  <c r="B23" i="1"/>
  <c r="B17" i="3"/>
  <c r="H13" i="3"/>
  <c r="G12" i="3"/>
  <c r="C18" i="3"/>
  <c r="H16" i="4"/>
  <c r="S33" i="12" l="1"/>
  <c r="S25" i="12"/>
  <c r="S29" i="12"/>
  <c r="S21" i="12"/>
  <c r="I21" i="11"/>
  <c r="L59" i="11"/>
  <c r="L62" i="11"/>
  <c r="I26" i="11"/>
  <c r="I27" i="11"/>
  <c r="R32" i="7"/>
  <c r="I76" i="11" s="1"/>
  <c r="I28" i="11"/>
  <c r="L65" i="11"/>
  <c r="I77" i="11"/>
  <c r="L7" i="11"/>
  <c r="I13" i="11"/>
  <c r="I14" i="11"/>
  <c r="AA12" i="6"/>
  <c r="R66" i="7"/>
  <c r="L31" i="11"/>
  <c r="G6" i="7"/>
  <c r="L42" i="11"/>
  <c r="I17" i="11"/>
  <c r="I16" i="11"/>
  <c r="G114" i="7"/>
  <c r="B34" i="11"/>
  <c r="R13" i="12"/>
  <c r="D18" i="3"/>
  <c r="E18" i="3"/>
  <c r="F18" i="3"/>
  <c r="G18" i="3"/>
  <c r="H15" i="3"/>
  <c r="H17" i="3"/>
  <c r="H18" i="3"/>
  <c r="H16" i="3"/>
  <c r="H14" i="3"/>
  <c r="H19" i="4"/>
  <c r="H22" i="4"/>
  <c r="H20" i="4"/>
  <c r="H26" i="4"/>
  <c r="H28" i="4"/>
  <c r="H25" i="4"/>
  <c r="H18" i="4"/>
  <c r="H17" i="4"/>
  <c r="H21" i="4"/>
  <c r="H24" i="4"/>
  <c r="H23" i="4"/>
  <c r="H27" i="4"/>
  <c r="H20" i="1"/>
  <c r="H21" i="1"/>
  <c r="H18" i="1"/>
  <c r="H22" i="1"/>
  <c r="H24" i="1"/>
  <c r="H23" i="1"/>
  <c r="H17" i="1"/>
  <c r="H19" i="1"/>
  <c r="H15" i="4"/>
  <c r="D24" i="1"/>
  <c r="F24" i="1"/>
  <c r="E24" i="1"/>
  <c r="I16" i="1"/>
  <c r="H15" i="1"/>
  <c r="C25" i="1"/>
  <c r="H25" i="1" s="1"/>
  <c r="B24" i="1"/>
  <c r="B18" i="3"/>
  <c r="I13" i="3"/>
  <c r="H12" i="3"/>
  <c r="C19" i="3"/>
  <c r="I16" i="4"/>
  <c r="I15" i="11" l="1"/>
  <c r="J6" i="7"/>
  <c r="J114" i="7"/>
  <c r="I90" i="11" s="1"/>
  <c r="I66" i="11"/>
  <c r="I67" i="11"/>
  <c r="I62" i="11"/>
  <c r="I63" i="11"/>
  <c r="I69" i="11"/>
  <c r="I68" i="11"/>
  <c r="I64" i="11"/>
  <c r="H61" i="12"/>
  <c r="I86" i="11"/>
  <c r="I75" i="11"/>
  <c r="I43" i="11"/>
  <c r="I72" i="11"/>
  <c r="I42" i="11"/>
  <c r="I53" i="11"/>
  <c r="I85" i="11"/>
  <c r="I92" i="11"/>
  <c r="I59" i="11"/>
  <c r="I35" i="11"/>
  <c r="I60" i="11"/>
  <c r="I30" i="11"/>
  <c r="I41" i="11"/>
  <c r="I81" i="11"/>
  <c r="I91" i="11"/>
  <c r="I55" i="11"/>
  <c r="I31" i="11"/>
  <c r="I52" i="11"/>
  <c r="I73" i="11"/>
  <c r="I33" i="11"/>
  <c r="I84" i="11"/>
  <c r="I79" i="11"/>
  <c r="I51" i="11"/>
  <c r="I38" i="11"/>
  <c r="I50" i="11"/>
  <c r="I57" i="11"/>
  <c r="I88" i="11"/>
  <c r="I87" i="11"/>
  <c r="I89" i="11"/>
  <c r="I98" i="11"/>
  <c r="N17" i="12"/>
  <c r="P52" i="12" s="1"/>
  <c r="I100" i="11"/>
  <c r="S35" i="12"/>
  <c r="S31" i="12"/>
  <c r="S23" i="12"/>
  <c r="I101" i="11" s="1"/>
  <c r="S27" i="12"/>
  <c r="I19" i="4"/>
  <c r="I18" i="4"/>
  <c r="I22" i="4"/>
  <c r="I25" i="4"/>
  <c r="I27" i="4"/>
  <c r="I21" i="4"/>
  <c r="I23" i="4"/>
  <c r="I20" i="4"/>
  <c r="I24" i="4"/>
  <c r="I17" i="4"/>
  <c r="I26" i="4"/>
  <c r="I28" i="4"/>
  <c r="D19" i="3"/>
  <c r="E19" i="3"/>
  <c r="F19" i="3"/>
  <c r="G19" i="3"/>
  <c r="I16" i="3"/>
  <c r="I15" i="3"/>
  <c r="I18" i="3"/>
  <c r="I17" i="3"/>
  <c r="I19" i="3"/>
  <c r="I14" i="3"/>
  <c r="H19" i="3"/>
  <c r="I25" i="1"/>
  <c r="I19" i="1"/>
  <c r="I22" i="1"/>
  <c r="I17" i="1"/>
  <c r="I18" i="1"/>
  <c r="I24" i="1"/>
  <c r="I20" i="1"/>
  <c r="I21" i="1"/>
  <c r="I23" i="1"/>
  <c r="I15" i="4"/>
  <c r="E25" i="1"/>
  <c r="F25" i="1"/>
  <c r="D25" i="1"/>
  <c r="G25" i="1"/>
  <c r="J16" i="1"/>
  <c r="I15" i="1"/>
  <c r="C26" i="1"/>
  <c r="I26" i="1" s="1"/>
  <c r="B25" i="1"/>
  <c r="B19" i="3"/>
  <c r="J13" i="3"/>
  <c r="I12" i="3"/>
  <c r="C20" i="3"/>
  <c r="J16" i="4"/>
  <c r="P43" i="12" l="1"/>
  <c r="I96" i="11" s="1"/>
  <c r="I95" i="11"/>
  <c r="I94" i="11"/>
  <c r="I34" i="11"/>
  <c r="I80" i="11"/>
  <c r="I78" i="11"/>
  <c r="I83" i="11"/>
  <c r="I82" i="11"/>
  <c r="I97" i="11"/>
  <c r="I99" i="11"/>
  <c r="J26" i="4"/>
  <c r="J18" i="4"/>
  <c r="J20" i="4"/>
  <c r="J28" i="4"/>
  <c r="J24" i="4"/>
  <c r="J25" i="4"/>
  <c r="J17" i="4"/>
  <c r="J23" i="4"/>
  <c r="J27" i="4"/>
  <c r="J19" i="4"/>
  <c r="J21" i="4"/>
  <c r="J22" i="4"/>
  <c r="D20" i="3"/>
  <c r="E20" i="3"/>
  <c r="F20" i="3"/>
  <c r="G20" i="3"/>
  <c r="H20" i="3"/>
  <c r="J16" i="3"/>
  <c r="J15" i="3"/>
  <c r="J19" i="3"/>
  <c r="J17" i="3"/>
  <c r="J18" i="3"/>
  <c r="J20" i="3"/>
  <c r="J14" i="3"/>
  <c r="I20" i="3"/>
  <c r="J18" i="1"/>
  <c r="J26" i="1"/>
  <c r="J23" i="1"/>
  <c r="J20" i="1"/>
  <c r="J22" i="1"/>
  <c r="J25" i="1"/>
  <c r="J17" i="1"/>
  <c r="J24" i="1"/>
  <c r="J21" i="1"/>
  <c r="J19" i="1"/>
  <c r="J15" i="4"/>
  <c r="E26" i="1"/>
  <c r="D26" i="1"/>
  <c r="F26" i="1"/>
  <c r="G26" i="1"/>
  <c r="H26" i="1"/>
  <c r="K16" i="1"/>
  <c r="J15" i="1"/>
  <c r="C27" i="1"/>
  <c r="B26" i="1"/>
  <c r="B20" i="3"/>
  <c r="K13" i="3"/>
  <c r="J12" i="3"/>
  <c r="C21" i="3"/>
  <c r="J21" i="3" s="1"/>
  <c r="K16" i="4"/>
  <c r="K18" i="3" l="1"/>
  <c r="K17" i="3"/>
  <c r="K15" i="3"/>
  <c r="K21" i="3"/>
  <c r="K16" i="3"/>
  <c r="K19" i="3"/>
  <c r="K20" i="3"/>
  <c r="K14" i="3"/>
  <c r="K25" i="4"/>
  <c r="K26" i="4"/>
  <c r="K24" i="4"/>
  <c r="K17" i="4"/>
  <c r="K28" i="4"/>
  <c r="K18" i="4"/>
  <c r="K20" i="4"/>
  <c r="K19" i="4"/>
  <c r="K23" i="4"/>
  <c r="K27" i="4"/>
  <c r="K22" i="4"/>
  <c r="K21" i="4"/>
  <c r="D21" i="3"/>
  <c r="E21" i="3"/>
  <c r="F21" i="3"/>
  <c r="G21" i="3"/>
  <c r="H21" i="3"/>
  <c r="I21" i="3"/>
  <c r="K15" i="4"/>
  <c r="E27" i="1"/>
  <c r="D27" i="1"/>
  <c r="F27" i="1"/>
  <c r="G27" i="1"/>
  <c r="H27" i="1"/>
  <c r="I27" i="1"/>
  <c r="K17" i="1"/>
  <c r="K19" i="1"/>
  <c r="K23" i="1"/>
  <c r="K24" i="1"/>
  <c r="K18" i="1"/>
  <c r="K20" i="1"/>
  <c r="K25" i="1"/>
  <c r="K27" i="1"/>
  <c r="K21" i="1"/>
  <c r="K22" i="1"/>
  <c r="K26" i="1"/>
  <c r="J27" i="1"/>
  <c r="L16" i="1"/>
  <c r="K15" i="1"/>
  <c r="C28" i="1"/>
  <c r="B27" i="1"/>
  <c r="B21" i="3"/>
  <c r="L13" i="3"/>
  <c r="K12" i="3"/>
  <c r="C22" i="3"/>
  <c r="K22" i="3" s="1"/>
  <c r="L16" i="4"/>
  <c r="L16" i="3" l="1"/>
  <c r="L15" i="3"/>
  <c r="L17" i="3"/>
  <c r="L21" i="3"/>
  <c r="L22" i="3"/>
  <c r="L20" i="3"/>
  <c r="L19" i="3"/>
  <c r="L18" i="3"/>
  <c r="L14" i="3"/>
  <c r="D22" i="3"/>
  <c r="E22" i="3"/>
  <c r="F22" i="3"/>
  <c r="G22" i="3"/>
  <c r="H22" i="3"/>
  <c r="I22" i="3"/>
  <c r="J22" i="3"/>
  <c r="L20" i="4"/>
  <c r="L25" i="4"/>
  <c r="L18" i="4"/>
  <c r="L24" i="4"/>
  <c r="L22" i="4"/>
  <c r="L17" i="4"/>
  <c r="L27" i="4"/>
  <c r="L19" i="4"/>
  <c r="L26" i="4"/>
  <c r="L21" i="4"/>
  <c r="L23" i="4"/>
  <c r="L28" i="4"/>
  <c r="L28" i="1"/>
  <c r="L25" i="1"/>
  <c r="L19" i="1"/>
  <c r="L24" i="1"/>
  <c r="L22" i="1"/>
  <c r="L21" i="1"/>
  <c r="L20" i="1"/>
  <c r="L23" i="1"/>
  <c r="L26" i="1"/>
  <c r="L18" i="1"/>
  <c r="L17" i="1"/>
  <c r="L27" i="1"/>
  <c r="L15" i="4"/>
  <c r="F28" i="1"/>
  <c r="D28" i="1"/>
  <c r="E28" i="1"/>
  <c r="G28" i="1"/>
  <c r="H28" i="1"/>
  <c r="I28" i="1"/>
  <c r="J28" i="1"/>
  <c r="K28" i="1"/>
  <c r="M16" i="1"/>
  <c r="L15" i="1"/>
  <c r="C29" i="1"/>
  <c r="B28" i="1"/>
  <c r="B22" i="3"/>
  <c r="M13" i="3"/>
  <c r="L12" i="3"/>
  <c r="C23" i="3"/>
  <c r="L23" i="3" s="1"/>
  <c r="M16" i="4"/>
  <c r="M25" i="4" l="1"/>
  <c r="M28" i="4"/>
  <c r="M24" i="4"/>
  <c r="M23" i="4"/>
  <c r="M20" i="4"/>
  <c r="M21" i="4"/>
  <c r="M22" i="4"/>
  <c r="M27" i="4"/>
  <c r="M19" i="4"/>
  <c r="M18" i="4"/>
  <c r="M17" i="4"/>
  <c r="M26" i="4"/>
  <c r="D23" i="3"/>
  <c r="E23" i="3"/>
  <c r="F23" i="3"/>
  <c r="G23" i="3"/>
  <c r="H23" i="3"/>
  <c r="I23" i="3"/>
  <c r="J23" i="3"/>
  <c r="K23" i="3"/>
  <c r="M20" i="3"/>
  <c r="M16" i="3"/>
  <c r="M17" i="3"/>
  <c r="M19" i="3"/>
  <c r="M15" i="3"/>
  <c r="M18" i="3"/>
  <c r="M21" i="3"/>
  <c r="M22" i="3"/>
  <c r="M23" i="3"/>
  <c r="M14" i="3"/>
  <c r="M23" i="1"/>
  <c r="M29" i="1"/>
  <c r="M24" i="1"/>
  <c r="M21" i="1"/>
  <c r="M17" i="1"/>
  <c r="M26" i="1"/>
  <c r="M27" i="1"/>
  <c r="M25" i="1"/>
  <c r="M22" i="1"/>
  <c r="M28" i="1"/>
  <c r="M18" i="1"/>
  <c r="M19" i="1"/>
  <c r="M20" i="1"/>
  <c r="F29" i="1"/>
  <c r="E29" i="1"/>
  <c r="D29" i="1"/>
  <c r="G29" i="1"/>
  <c r="H29" i="1"/>
  <c r="I29" i="1"/>
  <c r="J29" i="1"/>
  <c r="K29" i="1"/>
  <c r="M15" i="4"/>
  <c r="L29" i="1"/>
  <c r="N16" i="1"/>
  <c r="M15" i="1"/>
  <c r="C30" i="1"/>
  <c r="M30" i="1" s="1"/>
  <c r="B29" i="1"/>
  <c r="B23" i="3"/>
  <c r="M12" i="3"/>
  <c r="N13" i="3"/>
  <c r="C24" i="3"/>
  <c r="N16" i="4"/>
  <c r="N21" i="4" l="1"/>
  <c r="N28" i="4"/>
  <c r="N20" i="4"/>
  <c r="N26" i="4"/>
  <c r="N19" i="4"/>
  <c r="N27" i="4"/>
  <c r="N18" i="4"/>
  <c r="N24" i="4"/>
  <c r="N25" i="4"/>
  <c r="N22" i="4"/>
  <c r="N23" i="4"/>
  <c r="N17" i="4"/>
  <c r="D24" i="3"/>
  <c r="E24" i="3"/>
  <c r="F24" i="3"/>
  <c r="G24" i="3"/>
  <c r="H24" i="3"/>
  <c r="I24" i="3"/>
  <c r="J24" i="3"/>
  <c r="K24" i="3"/>
  <c r="L24" i="3"/>
  <c r="N19" i="3"/>
  <c r="N16" i="3"/>
  <c r="N17" i="3"/>
  <c r="N21" i="3"/>
  <c r="N15" i="3"/>
  <c r="N20" i="3"/>
  <c r="N18" i="3"/>
  <c r="N22" i="3"/>
  <c r="N24" i="3"/>
  <c r="N23" i="3"/>
  <c r="N14" i="3"/>
  <c r="M24" i="3"/>
  <c r="N15" i="4"/>
  <c r="E30" i="1"/>
  <c r="F30" i="1"/>
  <c r="D30" i="1"/>
  <c r="G30" i="1"/>
  <c r="H30" i="1"/>
  <c r="I30" i="1"/>
  <c r="J30" i="1"/>
  <c r="K30" i="1"/>
  <c r="L30" i="1"/>
  <c r="N27" i="1"/>
  <c r="N25" i="1"/>
  <c r="N26" i="1"/>
  <c r="N20" i="1"/>
  <c r="N23" i="1"/>
  <c r="N22" i="1"/>
  <c r="N19" i="1"/>
  <c r="N28" i="1"/>
  <c r="N29" i="1"/>
  <c r="N21" i="1"/>
  <c r="N17" i="1"/>
  <c r="N24" i="1"/>
  <c r="N30" i="1"/>
  <c r="N18" i="1"/>
  <c r="O16" i="1"/>
  <c r="N15" i="1"/>
  <c r="C31" i="1"/>
  <c r="N31" i="1" s="1"/>
  <c r="B30" i="1"/>
  <c r="B24" i="3"/>
  <c r="N12" i="3"/>
  <c r="O13" i="3"/>
  <c r="C25" i="3"/>
  <c r="O16" i="4"/>
  <c r="O23" i="4" l="1"/>
  <c r="O26" i="4"/>
  <c r="O28" i="4"/>
  <c r="O22" i="4"/>
  <c r="O19" i="4"/>
  <c r="O18" i="4"/>
  <c r="O24" i="4"/>
  <c r="O17" i="4"/>
  <c r="O25" i="4"/>
  <c r="O21" i="4"/>
  <c r="O20" i="4"/>
  <c r="O27" i="4"/>
  <c r="D25" i="3"/>
  <c r="E25" i="3"/>
  <c r="F25" i="3"/>
  <c r="G25" i="3"/>
  <c r="H25" i="3"/>
  <c r="I25" i="3"/>
  <c r="J25" i="3"/>
  <c r="K25" i="3"/>
  <c r="L25" i="3"/>
  <c r="M25" i="3"/>
  <c r="N25" i="3"/>
  <c r="O17" i="3"/>
  <c r="O16" i="3"/>
  <c r="O18" i="3"/>
  <c r="O15" i="3"/>
  <c r="O19" i="3"/>
  <c r="O20" i="3"/>
  <c r="O22" i="3"/>
  <c r="O21" i="3"/>
  <c r="O23" i="3"/>
  <c r="O24" i="3"/>
  <c r="O25" i="3"/>
  <c r="O14" i="3"/>
  <c r="F31" i="1"/>
  <c r="E31" i="1"/>
  <c r="D31" i="1"/>
  <c r="G31" i="1"/>
  <c r="H31" i="1"/>
  <c r="I31" i="1"/>
  <c r="J31" i="1"/>
  <c r="K31" i="1"/>
  <c r="L31" i="1"/>
  <c r="M31" i="1"/>
  <c r="O15" i="4"/>
  <c r="O30" i="1"/>
  <c r="O22" i="1"/>
  <c r="O28" i="1"/>
  <c r="O29" i="1"/>
  <c r="O20" i="1"/>
  <c r="O21" i="1"/>
  <c r="O19" i="1"/>
  <c r="O23" i="1"/>
  <c r="O31" i="1"/>
  <c r="O27" i="1"/>
  <c r="O26" i="1"/>
  <c r="O25" i="1"/>
  <c r="O24" i="1"/>
  <c r="O18" i="1"/>
  <c r="O17" i="1"/>
  <c r="P16" i="1"/>
  <c r="O15" i="1"/>
  <c r="C32" i="1"/>
  <c r="B31" i="1"/>
  <c r="B25" i="3"/>
  <c r="O12" i="3"/>
  <c r="P13" i="3"/>
  <c r="C26" i="3"/>
  <c r="P16" i="4"/>
  <c r="D26" i="3" l="1"/>
  <c r="E26" i="3"/>
  <c r="F26" i="3"/>
  <c r="G26" i="3"/>
  <c r="H26" i="3"/>
  <c r="I26" i="3"/>
  <c r="J26" i="3"/>
  <c r="K26" i="3"/>
  <c r="L26" i="3"/>
  <c r="M26" i="3"/>
  <c r="N26" i="3"/>
  <c r="P15" i="3"/>
  <c r="P16" i="3"/>
  <c r="P18" i="3"/>
  <c r="P19" i="3"/>
  <c r="P21" i="3"/>
  <c r="P20" i="3"/>
  <c r="P24" i="3"/>
  <c r="P23" i="3"/>
  <c r="P17" i="3"/>
  <c r="P22" i="3"/>
  <c r="P25" i="3"/>
  <c r="P26" i="3"/>
  <c r="P14" i="3"/>
  <c r="P17" i="4"/>
  <c r="P22" i="4"/>
  <c r="P18" i="4"/>
  <c r="P25" i="4"/>
  <c r="P24" i="4"/>
  <c r="P20" i="4"/>
  <c r="P21" i="4"/>
  <c r="P26" i="4"/>
  <c r="P19" i="4"/>
  <c r="P23" i="4"/>
  <c r="P27" i="4"/>
  <c r="P28" i="4"/>
  <c r="O26" i="3"/>
  <c r="P26" i="1"/>
  <c r="P17" i="1"/>
  <c r="P27" i="1"/>
  <c r="P31" i="1"/>
  <c r="P32" i="1"/>
  <c r="P30" i="1"/>
  <c r="P21" i="1"/>
  <c r="P23" i="1"/>
  <c r="P22" i="1"/>
  <c r="P28" i="1"/>
  <c r="P18" i="1"/>
  <c r="P29" i="1"/>
  <c r="P24" i="1"/>
  <c r="P25" i="1"/>
  <c r="P20" i="1"/>
  <c r="P19" i="1"/>
  <c r="P15" i="4"/>
  <c r="E32" i="1"/>
  <c r="D32" i="1"/>
  <c r="F32" i="1"/>
  <c r="G32" i="1"/>
  <c r="H32" i="1"/>
  <c r="I32" i="1"/>
  <c r="J32" i="1"/>
  <c r="K32" i="1"/>
  <c r="L32" i="1"/>
  <c r="M32" i="1"/>
  <c r="N32" i="1"/>
  <c r="O32" i="1"/>
  <c r="Q16" i="1"/>
  <c r="P15" i="1"/>
  <c r="C33" i="1"/>
  <c r="B32" i="1"/>
  <c r="B26" i="3"/>
  <c r="P12" i="3"/>
  <c r="Q13" i="3"/>
  <c r="C27" i="3"/>
  <c r="P27" i="3" s="1"/>
  <c r="Q16" i="4"/>
  <c r="Q15" i="3" l="1"/>
  <c r="Q14" i="3"/>
  <c r="Q16" i="3"/>
  <c r="Q20" i="3"/>
  <c r="Q21" i="3"/>
  <c r="Q18" i="3"/>
  <c r="Q17" i="3"/>
  <c r="Q19" i="3"/>
  <c r="Q23" i="3"/>
  <c r="Q26" i="3"/>
  <c r="Q27" i="3"/>
  <c r="Q25" i="3"/>
  <c r="Q24" i="3"/>
  <c r="Q22" i="3"/>
  <c r="D27" i="3"/>
  <c r="E27" i="3"/>
  <c r="F27" i="3"/>
  <c r="G27" i="3"/>
  <c r="H27" i="3"/>
  <c r="I27" i="3"/>
  <c r="J27" i="3"/>
  <c r="K27" i="3"/>
  <c r="L27" i="3"/>
  <c r="M27" i="3"/>
  <c r="N27" i="3"/>
  <c r="O27" i="3"/>
  <c r="Q20" i="4"/>
  <c r="Q19" i="4"/>
  <c r="Q25" i="4"/>
  <c r="Q24" i="4"/>
  <c r="Q23" i="4"/>
  <c r="Q28" i="4"/>
  <c r="Q21" i="4"/>
  <c r="Q18" i="4"/>
  <c r="Q22" i="4"/>
  <c r="Q26" i="4"/>
  <c r="Q17" i="4"/>
  <c r="Q27" i="4"/>
  <c r="Q15" i="4"/>
  <c r="Q25" i="1"/>
  <c r="Q23" i="1"/>
  <c r="Q24" i="1"/>
  <c r="Q26" i="1"/>
  <c r="Q21" i="1"/>
  <c r="Q20" i="1"/>
  <c r="Q19" i="1"/>
  <c r="Q17" i="1"/>
  <c r="Q32" i="1"/>
  <c r="Q29" i="1"/>
  <c r="Q28" i="1"/>
  <c r="Q27" i="1"/>
  <c r="Q18" i="1"/>
  <c r="Q31" i="1"/>
  <c r="Q30" i="1"/>
  <c r="Q22" i="1"/>
  <c r="Q33" i="1"/>
  <c r="E33" i="1"/>
  <c r="D33" i="1"/>
  <c r="F33" i="1"/>
  <c r="G33" i="1"/>
  <c r="H33" i="1"/>
  <c r="I33" i="1"/>
  <c r="J33" i="1"/>
  <c r="K33" i="1"/>
  <c r="L33" i="1"/>
  <c r="M33" i="1"/>
  <c r="N33" i="1"/>
  <c r="O33" i="1"/>
  <c r="P33" i="1"/>
  <c r="R16" i="1"/>
  <c r="Q15" i="1"/>
  <c r="C34" i="1"/>
  <c r="Q34" i="1" s="1"/>
  <c r="B33" i="1"/>
  <c r="B27" i="3"/>
  <c r="Q12" i="3"/>
  <c r="R13" i="3"/>
  <c r="C28" i="3"/>
  <c r="R16" i="4"/>
  <c r="R18" i="4" l="1"/>
  <c r="R24" i="4"/>
  <c r="R21" i="4"/>
  <c r="R28" i="4"/>
  <c r="R27" i="4"/>
  <c r="R26" i="4"/>
  <c r="R20" i="4"/>
  <c r="R17" i="4"/>
  <c r="R23" i="4"/>
  <c r="R19" i="4"/>
  <c r="R25" i="4"/>
  <c r="R22" i="4"/>
  <c r="D28" i="3"/>
  <c r="E28" i="3"/>
  <c r="F28" i="3"/>
  <c r="G28" i="3"/>
  <c r="H28" i="3"/>
  <c r="I28" i="3"/>
  <c r="J28" i="3"/>
  <c r="K28" i="3"/>
  <c r="L28" i="3"/>
  <c r="M28" i="3"/>
  <c r="N28" i="3"/>
  <c r="O28" i="3"/>
  <c r="P28" i="3"/>
  <c r="R15" i="3"/>
  <c r="R16" i="3"/>
  <c r="R18" i="3"/>
  <c r="R20" i="3"/>
  <c r="R19" i="3"/>
  <c r="R24" i="3"/>
  <c r="R17" i="3"/>
  <c r="R21" i="3"/>
  <c r="R26" i="3"/>
  <c r="R23" i="3"/>
  <c r="R22" i="3"/>
  <c r="R25" i="3"/>
  <c r="R27" i="3"/>
  <c r="R28" i="3"/>
  <c r="R14" i="3"/>
  <c r="Q28" i="3"/>
  <c r="R15" i="4"/>
  <c r="D34" i="1"/>
  <c r="F34" i="1"/>
  <c r="E34" i="1"/>
  <c r="G34" i="1"/>
  <c r="H34" i="1"/>
  <c r="I34" i="1"/>
  <c r="J34" i="1"/>
  <c r="K34" i="1"/>
  <c r="L34" i="1"/>
  <c r="M34" i="1"/>
  <c r="N34" i="1"/>
  <c r="O34" i="1"/>
  <c r="P34" i="1"/>
  <c r="R28" i="1"/>
  <c r="R29" i="1"/>
  <c r="R34" i="1"/>
  <c r="R20" i="1"/>
  <c r="R25" i="1"/>
  <c r="R30" i="1"/>
  <c r="R23" i="1"/>
  <c r="R32" i="1"/>
  <c r="R26" i="1"/>
  <c r="R17" i="1"/>
  <c r="R21" i="1"/>
  <c r="R22" i="1"/>
  <c r="R27" i="1"/>
  <c r="R18" i="1"/>
  <c r="R24" i="1"/>
  <c r="R19" i="1"/>
  <c r="R33" i="1"/>
  <c r="R31" i="1"/>
  <c r="S16" i="1"/>
  <c r="R15" i="1"/>
  <c r="C35" i="1"/>
  <c r="B34" i="1"/>
  <c r="B28" i="3"/>
  <c r="R12" i="3"/>
  <c r="S13" i="3"/>
  <c r="C29" i="3"/>
  <c r="S16" i="4"/>
  <c r="S17" i="3" l="1"/>
  <c r="S18" i="3"/>
  <c r="S16" i="3"/>
  <c r="S20" i="3"/>
  <c r="S15" i="3"/>
  <c r="S22" i="3"/>
  <c r="S24" i="3"/>
  <c r="S19" i="3"/>
  <c r="S21" i="3"/>
  <c r="S27" i="3"/>
  <c r="S28" i="3"/>
  <c r="S30" i="3"/>
  <c r="S26" i="3"/>
  <c r="S29" i="3"/>
  <c r="S25" i="3"/>
  <c r="S23" i="3"/>
  <c r="S14" i="3"/>
  <c r="S17" i="4"/>
  <c r="S26" i="4"/>
  <c r="S24" i="4"/>
  <c r="S23" i="4"/>
  <c r="S22" i="4"/>
  <c r="S28" i="4"/>
  <c r="S25" i="4"/>
  <c r="S20" i="4"/>
  <c r="S18" i="4"/>
  <c r="S21" i="4"/>
  <c r="S19" i="4"/>
  <c r="S27" i="4"/>
  <c r="D29" i="3"/>
  <c r="E29" i="3"/>
  <c r="F29" i="3"/>
  <c r="G29" i="3"/>
  <c r="H29" i="3"/>
  <c r="I29" i="3"/>
  <c r="J29" i="3"/>
  <c r="K29" i="3"/>
  <c r="L29" i="3"/>
  <c r="M29" i="3"/>
  <c r="N29" i="3"/>
  <c r="O29" i="3"/>
  <c r="P29" i="3"/>
  <c r="Q29" i="3"/>
  <c r="R29" i="3"/>
  <c r="S15" i="4"/>
  <c r="D35" i="1"/>
  <c r="F35" i="1"/>
  <c r="E35" i="1"/>
  <c r="G35" i="1"/>
  <c r="H35" i="1"/>
  <c r="I35" i="1"/>
  <c r="J35" i="1"/>
  <c r="K35" i="1"/>
  <c r="L35" i="1"/>
  <c r="M35" i="1"/>
  <c r="N35" i="1"/>
  <c r="O35" i="1"/>
  <c r="P35" i="1"/>
  <c r="Q35" i="1"/>
  <c r="R35" i="1"/>
  <c r="S25" i="1"/>
  <c r="S29" i="1"/>
  <c r="S34" i="1"/>
  <c r="S28" i="1"/>
  <c r="S23" i="1"/>
  <c r="S24" i="1"/>
  <c r="S20" i="1"/>
  <c r="S17" i="1"/>
  <c r="S32" i="1"/>
  <c r="S19" i="1"/>
  <c r="S18" i="1"/>
  <c r="S33" i="1"/>
  <c r="S27" i="1"/>
  <c r="S30" i="1"/>
  <c r="S31" i="1"/>
  <c r="S22" i="1"/>
  <c r="S35" i="1"/>
  <c r="S21" i="1"/>
  <c r="S26" i="1"/>
  <c r="T16" i="1"/>
  <c r="S15" i="1"/>
  <c r="C36" i="1"/>
  <c r="S36" i="1" s="1"/>
  <c r="B35" i="1"/>
  <c r="B29" i="3"/>
  <c r="S12" i="3"/>
  <c r="T13" i="3"/>
  <c r="C30" i="3"/>
  <c r="T16" i="4"/>
  <c r="D30" i="3" l="1"/>
  <c r="E30" i="3"/>
  <c r="F30" i="3"/>
  <c r="G30" i="3"/>
  <c r="H30" i="3"/>
  <c r="I30" i="3"/>
  <c r="J30" i="3"/>
  <c r="K30" i="3"/>
  <c r="L30" i="3"/>
  <c r="M30" i="3"/>
  <c r="N30" i="3"/>
  <c r="O30" i="3"/>
  <c r="P30" i="3"/>
  <c r="Q30" i="3"/>
  <c r="R30" i="3"/>
  <c r="T15" i="3"/>
  <c r="T17" i="3"/>
  <c r="T16" i="3"/>
  <c r="T22" i="3"/>
  <c r="T21" i="3"/>
  <c r="T23" i="3"/>
  <c r="T18" i="3"/>
  <c r="T20" i="3"/>
  <c r="T19" i="3"/>
  <c r="T25" i="3"/>
  <c r="T24" i="3"/>
  <c r="T26" i="3"/>
  <c r="T30" i="3"/>
  <c r="T28" i="3"/>
  <c r="T29" i="3"/>
  <c r="T27" i="3"/>
  <c r="T14" i="3"/>
  <c r="T25" i="4"/>
  <c r="T26" i="4"/>
  <c r="T19" i="4"/>
  <c r="T21" i="4"/>
  <c r="T22" i="4"/>
  <c r="T27" i="4"/>
  <c r="T24" i="4"/>
  <c r="T20" i="4"/>
  <c r="T18" i="4"/>
  <c r="T23" i="4"/>
  <c r="T17" i="4"/>
  <c r="T28" i="4"/>
  <c r="T15" i="4"/>
  <c r="T36" i="1"/>
  <c r="T19" i="1"/>
  <c r="T20" i="1"/>
  <c r="T21" i="1"/>
  <c r="T26" i="1"/>
  <c r="T33" i="1"/>
  <c r="T25" i="1"/>
  <c r="T30" i="1"/>
  <c r="T31" i="1"/>
  <c r="T24" i="1"/>
  <c r="T32" i="1"/>
  <c r="T22" i="1"/>
  <c r="T34" i="1"/>
  <c r="T28" i="1"/>
  <c r="T29" i="1"/>
  <c r="T23" i="1"/>
  <c r="T17" i="1"/>
  <c r="T35" i="1"/>
  <c r="T18" i="1"/>
  <c r="T27" i="1"/>
  <c r="D36" i="1"/>
  <c r="E36" i="1"/>
  <c r="F36" i="1"/>
  <c r="G36" i="1"/>
  <c r="H36" i="1"/>
  <c r="I36" i="1"/>
  <c r="J36" i="1"/>
  <c r="K36" i="1"/>
  <c r="L36" i="1"/>
  <c r="M36" i="1"/>
  <c r="N36" i="1"/>
  <c r="O36" i="1"/>
  <c r="P36" i="1"/>
  <c r="Q36" i="1"/>
  <c r="R36" i="1"/>
  <c r="U16" i="1"/>
  <c r="T15" i="1"/>
  <c r="C37" i="1"/>
  <c r="T37" i="1" s="1"/>
  <c r="B36" i="1"/>
  <c r="B30" i="3"/>
  <c r="T12" i="3"/>
  <c r="U13" i="3"/>
  <c r="C31" i="3"/>
  <c r="T31" i="3" s="1"/>
  <c r="U16" i="4"/>
  <c r="U26" i="4" l="1"/>
  <c r="U17" i="4"/>
  <c r="U24" i="4"/>
  <c r="U18" i="4"/>
  <c r="U27" i="4"/>
  <c r="U23" i="4"/>
  <c r="U21" i="4"/>
  <c r="U25" i="4"/>
  <c r="U28" i="4"/>
  <c r="U20" i="4"/>
  <c r="U19" i="4"/>
  <c r="U22" i="4"/>
  <c r="D31" i="3"/>
  <c r="E31" i="3"/>
  <c r="F31" i="3"/>
  <c r="G31" i="3"/>
  <c r="H31" i="3"/>
  <c r="I31" i="3"/>
  <c r="J31" i="3"/>
  <c r="K31" i="3"/>
  <c r="L31" i="3"/>
  <c r="M31" i="3"/>
  <c r="N31" i="3"/>
  <c r="O31" i="3"/>
  <c r="P31" i="3"/>
  <c r="Q31" i="3"/>
  <c r="R31" i="3"/>
  <c r="S31" i="3"/>
  <c r="U14" i="3"/>
  <c r="U15" i="3"/>
  <c r="U19" i="3"/>
  <c r="U17" i="3"/>
  <c r="U16" i="3"/>
  <c r="U21" i="3"/>
  <c r="U23" i="3"/>
  <c r="U22" i="3"/>
  <c r="U20" i="3"/>
  <c r="U18" i="3"/>
  <c r="U24" i="3"/>
  <c r="U29" i="3"/>
  <c r="U26" i="3"/>
  <c r="U27" i="3"/>
  <c r="U25" i="3"/>
  <c r="U28" i="3"/>
  <c r="U30" i="3"/>
  <c r="U31" i="3"/>
  <c r="U15" i="4"/>
  <c r="U19" i="1"/>
  <c r="U17" i="1"/>
  <c r="U30" i="1"/>
  <c r="U21" i="1"/>
  <c r="U23" i="1"/>
  <c r="U26" i="1"/>
  <c r="U28" i="1"/>
  <c r="U31" i="1"/>
  <c r="U36" i="1"/>
  <c r="U29" i="1"/>
  <c r="U37" i="1"/>
  <c r="U34" i="1"/>
  <c r="U27" i="1"/>
  <c r="U35" i="1"/>
  <c r="U33" i="1"/>
  <c r="U22" i="1"/>
  <c r="U24" i="1"/>
  <c r="U25" i="1"/>
  <c r="U32" i="1"/>
  <c r="U20" i="1"/>
  <c r="U18" i="1"/>
  <c r="D37" i="1"/>
  <c r="E37" i="1"/>
  <c r="F37" i="1"/>
  <c r="G37" i="1"/>
  <c r="H37" i="1"/>
  <c r="I37" i="1"/>
  <c r="J37" i="1"/>
  <c r="K37" i="1"/>
  <c r="L37" i="1"/>
  <c r="M37" i="1"/>
  <c r="N37" i="1"/>
  <c r="O37" i="1"/>
  <c r="P37" i="1"/>
  <c r="Q37" i="1"/>
  <c r="R37" i="1"/>
  <c r="S37" i="1"/>
  <c r="V16" i="1"/>
  <c r="U15" i="1"/>
  <c r="C38" i="1"/>
  <c r="B37" i="1"/>
  <c r="B31" i="3"/>
  <c r="U12" i="3"/>
  <c r="V13" i="3"/>
  <c r="C32" i="3"/>
  <c r="U32" i="3" s="1"/>
  <c r="V16" i="4"/>
  <c r="V21" i="4" l="1"/>
  <c r="V18" i="4"/>
  <c r="V17" i="4"/>
  <c r="V20" i="4"/>
  <c r="V28" i="4"/>
  <c r="V19" i="4"/>
  <c r="V25" i="4"/>
  <c r="V26" i="4"/>
  <c r="V22" i="4"/>
  <c r="V24" i="4"/>
  <c r="V23" i="4"/>
  <c r="V27" i="4"/>
  <c r="V15" i="3"/>
  <c r="V17" i="3"/>
  <c r="V18" i="3"/>
  <c r="V20" i="3"/>
  <c r="V22" i="3"/>
  <c r="V16" i="3"/>
  <c r="V19" i="3"/>
  <c r="V21" i="3"/>
  <c r="V23" i="3"/>
  <c r="V24" i="3"/>
  <c r="V26" i="3"/>
  <c r="V25" i="3"/>
  <c r="V27" i="3"/>
  <c r="V31" i="3"/>
  <c r="V29" i="3"/>
  <c r="V28" i="3"/>
  <c r="V32" i="3"/>
  <c r="V30" i="3"/>
  <c r="V14" i="3"/>
  <c r="D32" i="3"/>
  <c r="E32" i="3"/>
  <c r="F32" i="3"/>
  <c r="G32" i="3"/>
  <c r="H32" i="3"/>
  <c r="I32" i="3"/>
  <c r="J32" i="3"/>
  <c r="K32" i="3"/>
  <c r="L32" i="3"/>
  <c r="M32" i="3"/>
  <c r="N32" i="3"/>
  <c r="O32" i="3"/>
  <c r="P32" i="3"/>
  <c r="Q32" i="3"/>
  <c r="R32" i="3"/>
  <c r="S32" i="3"/>
  <c r="T32" i="3"/>
  <c r="V15" i="4"/>
  <c r="F38" i="1"/>
  <c r="E38" i="1"/>
  <c r="D38" i="1"/>
  <c r="G38" i="1"/>
  <c r="H38" i="1"/>
  <c r="I38" i="1"/>
  <c r="J38" i="1"/>
  <c r="K38" i="1"/>
  <c r="L38" i="1"/>
  <c r="M38" i="1"/>
  <c r="N38" i="1"/>
  <c r="O38" i="1"/>
  <c r="P38" i="1"/>
  <c r="Q38" i="1"/>
  <c r="R38" i="1"/>
  <c r="S38" i="1"/>
  <c r="T38" i="1"/>
  <c r="V32" i="1"/>
  <c r="V23" i="1"/>
  <c r="V31" i="1"/>
  <c r="V28" i="1"/>
  <c r="V38" i="1"/>
  <c r="V30" i="1"/>
  <c r="V33" i="1"/>
  <c r="V18" i="1"/>
  <c r="V37" i="1"/>
  <c r="V22" i="1"/>
  <c r="V29" i="1"/>
  <c r="V34" i="1"/>
  <c r="V20" i="1"/>
  <c r="V17" i="1"/>
  <c r="V26" i="1"/>
  <c r="V19" i="1"/>
  <c r="V27" i="1"/>
  <c r="V24" i="1"/>
  <c r="V21" i="1"/>
  <c r="V36" i="1"/>
  <c r="V25" i="1"/>
  <c r="V35" i="1"/>
  <c r="U38" i="1"/>
  <c r="V15" i="1"/>
  <c r="C39" i="1"/>
  <c r="V39" i="1" s="1"/>
  <c r="B38" i="1"/>
  <c r="B32" i="3"/>
  <c r="V12" i="3"/>
  <c r="W13" i="3"/>
  <c r="C33" i="3"/>
  <c r="V33" i="3" s="1"/>
  <c r="W16" i="4"/>
  <c r="W24" i="4" l="1"/>
  <c r="W20" i="4"/>
  <c r="W28" i="4"/>
  <c r="W27" i="4"/>
  <c r="W22" i="4"/>
  <c r="W25" i="4"/>
  <c r="W17" i="4"/>
  <c r="W18" i="4"/>
  <c r="W19" i="4"/>
  <c r="W26" i="4"/>
  <c r="W23" i="4"/>
  <c r="W21" i="4"/>
  <c r="W17" i="3"/>
  <c r="W15" i="3"/>
  <c r="W16" i="3"/>
  <c r="W18" i="3"/>
  <c r="W20" i="3"/>
  <c r="W19" i="3"/>
  <c r="W21" i="3"/>
  <c r="W22" i="3"/>
  <c r="W23" i="3"/>
  <c r="W24" i="3"/>
  <c r="W29" i="3"/>
  <c r="W31" i="3"/>
  <c r="W27" i="3"/>
  <c r="W33" i="3"/>
  <c r="W28" i="3"/>
  <c r="W30" i="3"/>
  <c r="W32" i="3"/>
  <c r="W25" i="3"/>
  <c r="W26" i="3"/>
  <c r="W14" i="3"/>
  <c r="D33" i="3"/>
  <c r="E33" i="3"/>
  <c r="F33" i="3"/>
  <c r="G33" i="3"/>
  <c r="H33" i="3"/>
  <c r="I33" i="3"/>
  <c r="J33" i="3"/>
  <c r="K33" i="3"/>
  <c r="L33" i="3"/>
  <c r="M33" i="3"/>
  <c r="N33" i="3"/>
  <c r="O33" i="3"/>
  <c r="P33" i="3"/>
  <c r="Q33" i="3"/>
  <c r="R33" i="3"/>
  <c r="S33" i="3"/>
  <c r="T33" i="3"/>
  <c r="U33" i="3"/>
  <c r="F39" i="1"/>
  <c r="D39" i="1"/>
  <c r="E39" i="1"/>
  <c r="G39" i="1"/>
  <c r="H39" i="1"/>
  <c r="I39" i="1"/>
  <c r="J39" i="1"/>
  <c r="K39" i="1"/>
  <c r="L39" i="1"/>
  <c r="M39" i="1"/>
  <c r="N39" i="1"/>
  <c r="O39" i="1"/>
  <c r="P39" i="1"/>
  <c r="Q39" i="1"/>
  <c r="R39" i="1"/>
  <c r="S39" i="1"/>
  <c r="T39" i="1"/>
  <c r="U39" i="1"/>
  <c r="W15" i="4"/>
  <c r="C40" i="1"/>
  <c r="B39" i="1"/>
  <c r="B33" i="3"/>
  <c r="W12" i="3"/>
  <c r="X13" i="3"/>
  <c r="C34" i="3"/>
  <c r="X16" i="4"/>
  <c r="D34" i="3" l="1"/>
  <c r="E34" i="3"/>
  <c r="F34" i="3"/>
  <c r="G34" i="3"/>
  <c r="H34" i="3"/>
  <c r="I34" i="3"/>
  <c r="J34" i="3"/>
  <c r="K34" i="3"/>
  <c r="L34" i="3"/>
  <c r="M34" i="3"/>
  <c r="N34" i="3"/>
  <c r="O34" i="3"/>
  <c r="P34" i="3"/>
  <c r="Q34" i="3"/>
  <c r="R34" i="3"/>
  <c r="S34" i="3"/>
  <c r="T34" i="3"/>
  <c r="U34" i="3"/>
  <c r="V34" i="3"/>
  <c r="W34" i="3"/>
  <c r="X18" i="4"/>
  <c r="X17" i="4"/>
  <c r="X27" i="4"/>
  <c r="X28" i="4"/>
  <c r="X19" i="4"/>
  <c r="X22" i="4"/>
  <c r="X21" i="4"/>
  <c r="X25" i="4"/>
  <c r="X20" i="4"/>
  <c r="X24" i="4"/>
  <c r="X23" i="4"/>
  <c r="X26" i="4"/>
  <c r="X15" i="3"/>
  <c r="X17" i="3"/>
  <c r="X19" i="3"/>
  <c r="X16" i="3"/>
  <c r="X18" i="3"/>
  <c r="X20" i="3"/>
  <c r="X22" i="3"/>
  <c r="X21" i="3"/>
  <c r="X23" i="3"/>
  <c r="X24" i="3"/>
  <c r="X28" i="3"/>
  <c r="X26" i="3"/>
  <c r="X27" i="3"/>
  <c r="X25" i="3"/>
  <c r="X34" i="3"/>
  <c r="X31" i="3"/>
  <c r="X30" i="3"/>
  <c r="X33" i="3"/>
  <c r="X29" i="3"/>
  <c r="X32" i="3"/>
  <c r="X14" i="3"/>
  <c r="X15" i="4"/>
  <c r="F40" i="1"/>
  <c r="E40" i="1"/>
  <c r="D40" i="1"/>
  <c r="G40" i="1"/>
  <c r="H40" i="1"/>
  <c r="I40" i="1"/>
  <c r="J40" i="1"/>
  <c r="K40" i="1"/>
  <c r="L40" i="1"/>
  <c r="M40" i="1"/>
  <c r="N40" i="1"/>
  <c r="O40" i="1"/>
  <c r="P40" i="1"/>
  <c r="Q40" i="1"/>
  <c r="R40" i="1"/>
  <c r="S40" i="1"/>
  <c r="T40" i="1"/>
  <c r="U40" i="1"/>
  <c r="V40" i="1"/>
  <c r="C41" i="1"/>
  <c r="B40" i="1"/>
  <c r="B34" i="3"/>
  <c r="X12" i="3"/>
  <c r="Y13" i="3"/>
  <c r="C35" i="3"/>
  <c r="Y16" i="4"/>
  <c r="Y19" i="4" l="1"/>
  <c r="Y18" i="4"/>
  <c r="Y20" i="4"/>
  <c r="Y23" i="4"/>
  <c r="Y25" i="4"/>
  <c r="Y22" i="4"/>
  <c r="Y21" i="4"/>
  <c r="Y26" i="4"/>
  <c r="Y28" i="4"/>
  <c r="Y24" i="4"/>
  <c r="Y27" i="4"/>
  <c r="Y17" i="4"/>
  <c r="D35" i="3"/>
  <c r="E35" i="3"/>
  <c r="F35" i="3"/>
  <c r="G35" i="3"/>
  <c r="H35" i="3"/>
  <c r="I35" i="3"/>
  <c r="J35" i="3"/>
  <c r="K35" i="3"/>
  <c r="L35" i="3"/>
  <c r="M35" i="3"/>
  <c r="N35" i="3"/>
  <c r="O35" i="3"/>
  <c r="P35" i="3"/>
  <c r="Q35" i="3"/>
  <c r="R35" i="3"/>
  <c r="S35" i="3"/>
  <c r="T35" i="3"/>
  <c r="U35" i="3"/>
  <c r="V35" i="3"/>
  <c r="W35" i="3"/>
  <c r="Y16" i="3"/>
  <c r="Y15" i="3"/>
  <c r="Y17" i="3"/>
  <c r="Y21" i="3"/>
  <c r="Y19" i="3"/>
  <c r="Y18" i="3"/>
  <c r="Y20" i="3"/>
  <c r="Y28" i="3"/>
  <c r="Y30" i="3"/>
  <c r="Y24" i="3"/>
  <c r="Y25" i="3"/>
  <c r="Y29" i="3"/>
  <c r="Y26" i="3"/>
  <c r="Y27" i="3"/>
  <c r="Y32" i="3"/>
  <c r="Y23" i="3"/>
  <c r="Y33" i="3"/>
  <c r="Y35" i="3"/>
  <c r="Y34" i="3"/>
  <c r="Y22" i="3"/>
  <c r="Y31" i="3"/>
  <c r="Y14" i="3"/>
  <c r="X35" i="3"/>
  <c r="Y15" i="4"/>
  <c r="F41" i="1"/>
  <c r="D41" i="1"/>
  <c r="G41" i="1"/>
  <c r="E41" i="1"/>
  <c r="H41" i="1"/>
  <c r="I41" i="1"/>
  <c r="J41" i="1"/>
  <c r="K41" i="1"/>
  <c r="L41" i="1"/>
  <c r="M41" i="1"/>
  <c r="N41" i="1"/>
  <c r="O41" i="1"/>
  <c r="P41" i="1"/>
  <c r="Q41" i="1"/>
  <c r="R41" i="1"/>
  <c r="S41" i="1"/>
  <c r="T41" i="1"/>
  <c r="U41" i="1"/>
  <c r="V41" i="1"/>
  <c r="C42" i="1"/>
  <c r="B41" i="1"/>
  <c r="B35" i="3"/>
  <c r="Y12" i="3"/>
  <c r="Z13" i="3"/>
  <c r="C36" i="3"/>
  <c r="Y36" i="3" s="1"/>
  <c r="Z16" i="4"/>
  <c r="D36" i="3" l="1"/>
  <c r="E36" i="3"/>
  <c r="F36" i="3"/>
  <c r="G36" i="3"/>
  <c r="H36" i="3"/>
  <c r="I36" i="3"/>
  <c r="J36" i="3"/>
  <c r="K36" i="3"/>
  <c r="L36" i="3"/>
  <c r="M36" i="3"/>
  <c r="N36" i="3"/>
  <c r="O36" i="3"/>
  <c r="P36" i="3"/>
  <c r="Q36" i="3"/>
  <c r="R36" i="3"/>
  <c r="S36" i="3"/>
  <c r="T36" i="3"/>
  <c r="U36" i="3"/>
  <c r="V36" i="3"/>
  <c r="W36" i="3"/>
  <c r="X36" i="3"/>
  <c r="Z19" i="4"/>
  <c r="Z27" i="4"/>
  <c r="Z26" i="4"/>
  <c r="Z21" i="4"/>
  <c r="Z25" i="4"/>
  <c r="Z24" i="4"/>
  <c r="Z18" i="4"/>
  <c r="Z23" i="4"/>
  <c r="Z20" i="4"/>
  <c r="Z22" i="4"/>
  <c r="Z28" i="4"/>
  <c r="Z17" i="4"/>
  <c r="Z16" i="3"/>
  <c r="Z15" i="3"/>
  <c r="Z19" i="3"/>
  <c r="Z17" i="3"/>
  <c r="Z18" i="3"/>
  <c r="Z20" i="3"/>
  <c r="Z22" i="3"/>
  <c r="Z21" i="3"/>
  <c r="Z25" i="3"/>
  <c r="Z27" i="3"/>
  <c r="Z23" i="3"/>
  <c r="Z24" i="3"/>
  <c r="Z26" i="3"/>
  <c r="Z32" i="3"/>
  <c r="Z29" i="3"/>
  <c r="Z34" i="3"/>
  <c r="Z33" i="3"/>
  <c r="Z31" i="3"/>
  <c r="Z28" i="3"/>
  <c r="Z35" i="3"/>
  <c r="Z36" i="3"/>
  <c r="Z30" i="3"/>
  <c r="Z14" i="3"/>
  <c r="Z15" i="4"/>
  <c r="D42" i="1"/>
  <c r="F42" i="1"/>
  <c r="E42" i="1"/>
  <c r="G42" i="1"/>
  <c r="H42" i="1"/>
  <c r="I42" i="1"/>
  <c r="J42" i="1"/>
  <c r="K42" i="1"/>
  <c r="L42" i="1"/>
  <c r="M42" i="1"/>
  <c r="N42" i="1"/>
  <c r="O42" i="1"/>
  <c r="P42" i="1"/>
  <c r="Q42" i="1"/>
  <c r="R42" i="1"/>
  <c r="S42" i="1"/>
  <c r="T42" i="1"/>
  <c r="U42" i="1"/>
  <c r="V42" i="1"/>
  <c r="C43" i="1"/>
  <c r="B42" i="1"/>
  <c r="B36" i="3"/>
  <c r="Z12" i="3"/>
  <c r="AA13" i="3"/>
  <c r="C37" i="3"/>
  <c r="AA16" i="4"/>
  <c r="D37" i="3" l="1"/>
  <c r="E37" i="3"/>
  <c r="F37" i="3"/>
  <c r="G37" i="3"/>
  <c r="H37" i="3"/>
  <c r="I37" i="3"/>
  <c r="J37" i="3"/>
  <c r="K37" i="3"/>
  <c r="L37" i="3"/>
  <c r="M37" i="3"/>
  <c r="N37" i="3"/>
  <c r="O37" i="3"/>
  <c r="P37" i="3"/>
  <c r="Q37" i="3"/>
  <c r="R37" i="3"/>
  <c r="S37" i="3"/>
  <c r="T37" i="3"/>
  <c r="U37" i="3"/>
  <c r="V37" i="3"/>
  <c r="W37" i="3"/>
  <c r="X37" i="3"/>
  <c r="Y37" i="3"/>
  <c r="AA15" i="3"/>
  <c r="AA18" i="3"/>
  <c r="AA16" i="3"/>
  <c r="AA21" i="3"/>
  <c r="AA17" i="3"/>
  <c r="AA24" i="3"/>
  <c r="AA22" i="3"/>
  <c r="AA23" i="3"/>
  <c r="AA20" i="3"/>
  <c r="AA27" i="3"/>
  <c r="AA25" i="3"/>
  <c r="AA34" i="3"/>
  <c r="AA36" i="3"/>
  <c r="AA29" i="3"/>
  <c r="AA31" i="3"/>
  <c r="AA19" i="3"/>
  <c r="AA28" i="3"/>
  <c r="AA30" i="3"/>
  <c r="AA32" i="3"/>
  <c r="AA26" i="3"/>
  <c r="AA35" i="3"/>
  <c r="AA37" i="3"/>
  <c r="AA33" i="3"/>
  <c r="AA14" i="3"/>
  <c r="AA20" i="4"/>
  <c r="AA27" i="4"/>
  <c r="AA26" i="4"/>
  <c r="AA21" i="4"/>
  <c r="AA28" i="4"/>
  <c r="AA17" i="4"/>
  <c r="AA25" i="4"/>
  <c r="AA24" i="4"/>
  <c r="AA23" i="4"/>
  <c r="AA18" i="4"/>
  <c r="AA19" i="4"/>
  <c r="AA22" i="4"/>
  <c r="Z37" i="3"/>
  <c r="D43" i="1"/>
  <c r="F43" i="1"/>
  <c r="E43" i="1"/>
  <c r="G43" i="1"/>
  <c r="H43" i="1"/>
  <c r="I43" i="1"/>
  <c r="J43" i="1"/>
  <c r="K43" i="1"/>
  <c r="L43" i="1"/>
  <c r="M43" i="1"/>
  <c r="N43" i="1"/>
  <c r="O43" i="1"/>
  <c r="P43" i="1"/>
  <c r="Q43" i="1"/>
  <c r="R43" i="1"/>
  <c r="S43" i="1"/>
  <c r="T43" i="1"/>
  <c r="U43" i="1"/>
  <c r="V43" i="1"/>
  <c r="AA15" i="4"/>
  <c r="C44" i="1"/>
  <c r="B43" i="1"/>
  <c r="B37" i="3"/>
  <c r="AA12" i="3"/>
  <c r="AB13" i="3"/>
  <c r="C38" i="3"/>
  <c r="AB16" i="4"/>
  <c r="AB21" i="4" l="1"/>
  <c r="AB22" i="4"/>
  <c r="AB25" i="4"/>
  <c r="AB20" i="4"/>
  <c r="AB23" i="4"/>
  <c r="AB17" i="4"/>
  <c r="AB27" i="4"/>
  <c r="AB28" i="4"/>
  <c r="AB19" i="4"/>
  <c r="AB24" i="4"/>
  <c r="AB26" i="4"/>
  <c r="AB18" i="4"/>
  <c r="D38" i="3"/>
  <c r="E38" i="3"/>
  <c r="F38" i="3"/>
  <c r="G38" i="3"/>
  <c r="H38" i="3"/>
  <c r="I38" i="3"/>
  <c r="J38" i="3"/>
  <c r="K38" i="3"/>
  <c r="L38" i="3"/>
  <c r="M38" i="3"/>
  <c r="N38" i="3"/>
  <c r="O38" i="3"/>
  <c r="P38" i="3"/>
  <c r="Q38" i="3"/>
  <c r="R38" i="3"/>
  <c r="S38" i="3"/>
  <c r="T38" i="3"/>
  <c r="U38" i="3"/>
  <c r="V38" i="3"/>
  <c r="W38" i="3"/>
  <c r="X38" i="3"/>
  <c r="Y38" i="3"/>
  <c r="Z38" i="3"/>
  <c r="AB16" i="3"/>
  <c r="AB15" i="3"/>
  <c r="AB17" i="3"/>
  <c r="AB21" i="3"/>
  <c r="AB23" i="3"/>
  <c r="AB20" i="3"/>
  <c r="AB22" i="3"/>
  <c r="AB19" i="3"/>
  <c r="AB18" i="3"/>
  <c r="AB24" i="3"/>
  <c r="AB25" i="3"/>
  <c r="AB29" i="3"/>
  <c r="AB28" i="3"/>
  <c r="AB31" i="3"/>
  <c r="AB27" i="3"/>
  <c r="AB30" i="3"/>
  <c r="AB26" i="3"/>
  <c r="AB34" i="3"/>
  <c r="AB32" i="3"/>
  <c r="AB36" i="3"/>
  <c r="AB33" i="3"/>
  <c r="AB35" i="3"/>
  <c r="AB38" i="3"/>
  <c r="AB37" i="3"/>
  <c r="AB14" i="3"/>
  <c r="AA38" i="3"/>
  <c r="F44" i="1"/>
  <c r="E44" i="1"/>
  <c r="D44" i="1"/>
  <c r="G44" i="1"/>
  <c r="H44" i="1"/>
  <c r="I44" i="1"/>
  <c r="J44" i="1"/>
  <c r="K44" i="1"/>
  <c r="L44" i="1"/>
  <c r="M44" i="1"/>
  <c r="N44" i="1"/>
  <c r="O44" i="1"/>
  <c r="P44" i="1"/>
  <c r="Q44" i="1"/>
  <c r="R44" i="1"/>
  <c r="S44" i="1"/>
  <c r="T44" i="1"/>
  <c r="U44" i="1"/>
  <c r="V44" i="1"/>
  <c r="AB15" i="4"/>
  <c r="C45" i="1"/>
  <c r="B44" i="1"/>
  <c r="B38" i="3"/>
  <c r="AB12" i="3"/>
  <c r="AC13" i="3"/>
  <c r="C39" i="3"/>
  <c r="AC16" i="4"/>
  <c r="AC22" i="4" l="1"/>
  <c r="AC25" i="4"/>
  <c r="AC28" i="4"/>
  <c r="AC18" i="4"/>
  <c r="AC26" i="4"/>
  <c r="AC17" i="4"/>
  <c r="AC23" i="4"/>
  <c r="AC19" i="4"/>
  <c r="AC21" i="4"/>
  <c r="AC20" i="4"/>
  <c r="AC24" i="4"/>
  <c r="AC27" i="4"/>
  <c r="D39" i="3"/>
  <c r="E39" i="3"/>
  <c r="F39" i="3"/>
  <c r="G39" i="3"/>
  <c r="H39" i="3"/>
  <c r="I39" i="3"/>
  <c r="J39" i="3"/>
  <c r="K39" i="3"/>
  <c r="L39" i="3"/>
  <c r="M39" i="3"/>
  <c r="N39" i="3"/>
  <c r="O39" i="3"/>
  <c r="P39" i="3"/>
  <c r="Q39" i="3"/>
  <c r="R39" i="3"/>
  <c r="S39" i="3"/>
  <c r="T39" i="3"/>
  <c r="U39" i="3"/>
  <c r="V39" i="3"/>
  <c r="W39" i="3"/>
  <c r="X39" i="3"/>
  <c r="Y39" i="3"/>
  <c r="Z39" i="3"/>
  <c r="AA39" i="3"/>
  <c r="AC16" i="3"/>
  <c r="AC17" i="3"/>
  <c r="AC15" i="3"/>
  <c r="AC18" i="3"/>
  <c r="AC21" i="3"/>
  <c r="AC19" i="3"/>
  <c r="AC20" i="3"/>
  <c r="AC22" i="3"/>
  <c r="AC23" i="3"/>
  <c r="AC25" i="3"/>
  <c r="AC28" i="3"/>
  <c r="AC30" i="3"/>
  <c r="AC26" i="3"/>
  <c r="AC27" i="3"/>
  <c r="AC29" i="3"/>
  <c r="AC24" i="3"/>
  <c r="AC32" i="3"/>
  <c r="AC33" i="3"/>
  <c r="AC35" i="3"/>
  <c r="AC31" i="3"/>
  <c r="AC34" i="3"/>
  <c r="AC36" i="3"/>
  <c r="AC38" i="3"/>
  <c r="AC37" i="3"/>
  <c r="AC39" i="3"/>
  <c r="AC14" i="3"/>
  <c r="AB39" i="3"/>
  <c r="D45" i="1"/>
  <c r="F45" i="1"/>
  <c r="E45" i="1"/>
  <c r="G45" i="1"/>
  <c r="H45" i="1"/>
  <c r="I45" i="1"/>
  <c r="J45" i="1"/>
  <c r="K45" i="1"/>
  <c r="L45" i="1"/>
  <c r="M45" i="1"/>
  <c r="N45" i="1"/>
  <c r="O45" i="1"/>
  <c r="P45" i="1"/>
  <c r="Q45" i="1"/>
  <c r="R45" i="1"/>
  <c r="S45" i="1"/>
  <c r="T45" i="1"/>
  <c r="U45" i="1"/>
  <c r="V45" i="1"/>
  <c r="AC15" i="4"/>
  <c r="C46" i="1"/>
  <c r="B45" i="1"/>
  <c r="B39" i="3"/>
  <c r="AC12" i="3"/>
  <c r="AD13" i="3"/>
  <c r="C40" i="3"/>
  <c r="AC40" i="3" s="1"/>
  <c r="AD16" i="4"/>
  <c r="AD22" i="4" l="1"/>
  <c r="AD26" i="4"/>
  <c r="AD27" i="4"/>
  <c r="AD18" i="4"/>
  <c r="AD24" i="4"/>
  <c r="AD25" i="4"/>
  <c r="AD28" i="4"/>
  <c r="AD20" i="4"/>
  <c r="AD21" i="4"/>
  <c r="AD17" i="4"/>
  <c r="AD19" i="4"/>
  <c r="AD23" i="4"/>
  <c r="D40" i="3"/>
  <c r="E40" i="3"/>
  <c r="F40" i="3"/>
  <c r="G40" i="3"/>
  <c r="H40" i="3"/>
  <c r="I40" i="3"/>
  <c r="J40" i="3"/>
  <c r="K40" i="3"/>
  <c r="L40" i="3"/>
  <c r="M40" i="3"/>
  <c r="N40" i="3"/>
  <c r="O40" i="3"/>
  <c r="P40" i="3"/>
  <c r="Q40" i="3"/>
  <c r="R40" i="3"/>
  <c r="S40" i="3"/>
  <c r="T40" i="3"/>
  <c r="U40" i="3"/>
  <c r="V40" i="3"/>
  <c r="W40" i="3"/>
  <c r="X40" i="3"/>
  <c r="Y40" i="3"/>
  <c r="Z40" i="3"/>
  <c r="AA40" i="3"/>
  <c r="AB40" i="3"/>
  <c r="AD16" i="3"/>
  <c r="AD20" i="3"/>
  <c r="AD15" i="3"/>
  <c r="AD19" i="3"/>
  <c r="AD17" i="3"/>
  <c r="AD21" i="3"/>
  <c r="AD22" i="3"/>
  <c r="AD18" i="3"/>
  <c r="AD25" i="3"/>
  <c r="AD27" i="3"/>
  <c r="AD24" i="3"/>
  <c r="AD26" i="3"/>
  <c r="AD32" i="3"/>
  <c r="AD23" i="3"/>
  <c r="AD28" i="3"/>
  <c r="AD30" i="3"/>
  <c r="AD31" i="3"/>
  <c r="AD29" i="3"/>
  <c r="AD37" i="3"/>
  <c r="AD40" i="3"/>
  <c r="AD34" i="3"/>
  <c r="AD36" i="3"/>
  <c r="AD39" i="3"/>
  <c r="AD35" i="3"/>
  <c r="AD33" i="3"/>
  <c r="AD38" i="3"/>
  <c r="AD14" i="3"/>
  <c r="E46" i="1"/>
  <c r="F46" i="1"/>
  <c r="D46" i="1"/>
  <c r="G46" i="1"/>
  <c r="H46" i="1"/>
  <c r="I46" i="1"/>
  <c r="J46" i="1"/>
  <c r="K46" i="1"/>
  <c r="L46" i="1"/>
  <c r="M46" i="1"/>
  <c r="N46" i="1"/>
  <c r="O46" i="1"/>
  <c r="P46" i="1"/>
  <c r="Q46" i="1"/>
  <c r="R46" i="1"/>
  <c r="S46" i="1"/>
  <c r="T46" i="1"/>
  <c r="U46" i="1"/>
  <c r="V46" i="1"/>
  <c r="AD15" i="4"/>
  <c r="C47" i="1"/>
  <c r="B46" i="1"/>
  <c r="B40" i="3"/>
  <c r="AD12" i="3"/>
  <c r="AE13" i="3"/>
  <c r="C41" i="3"/>
  <c r="AD41" i="3" s="1"/>
  <c r="AE16" i="4"/>
  <c r="AE25" i="4" l="1"/>
  <c r="AE22" i="4"/>
  <c r="AE27" i="4"/>
  <c r="AE20" i="4"/>
  <c r="AE21" i="4"/>
  <c r="AE23" i="4"/>
  <c r="AE18" i="4"/>
  <c r="AE28" i="4"/>
  <c r="AE19" i="4"/>
  <c r="AE24" i="4"/>
  <c r="AE17" i="4"/>
  <c r="AE26" i="4"/>
  <c r="D41" i="3"/>
  <c r="E41" i="3"/>
  <c r="F41" i="3"/>
  <c r="G41" i="3"/>
  <c r="H41" i="3"/>
  <c r="I41" i="3"/>
  <c r="J41" i="3"/>
  <c r="K41" i="3"/>
  <c r="L41" i="3"/>
  <c r="M41" i="3"/>
  <c r="N41" i="3"/>
  <c r="O41" i="3"/>
  <c r="P41" i="3"/>
  <c r="Q41" i="3"/>
  <c r="R41" i="3"/>
  <c r="S41" i="3"/>
  <c r="T41" i="3"/>
  <c r="U41" i="3"/>
  <c r="V41" i="3"/>
  <c r="W41" i="3"/>
  <c r="X41" i="3"/>
  <c r="Y41" i="3"/>
  <c r="Z41" i="3"/>
  <c r="AA41" i="3"/>
  <c r="AB41" i="3"/>
  <c r="AC41" i="3"/>
  <c r="AE19" i="3"/>
  <c r="AE18" i="3"/>
  <c r="AE16" i="3"/>
  <c r="AE17" i="3"/>
  <c r="AE23" i="3"/>
  <c r="AE15" i="3"/>
  <c r="AE24" i="3"/>
  <c r="AE21" i="3"/>
  <c r="AE22" i="3"/>
  <c r="AE28" i="3"/>
  <c r="AE30" i="3"/>
  <c r="AE32" i="3"/>
  <c r="AE26" i="3"/>
  <c r="AE29" i="3"/>
  <c r="AE31" i="3"/>
  <c r="AE20" i="3"/>
  <c r="AE33" i="3"/>
  <c r="AE34" i="3"/>
  <c r="AE27" i="3"/>
  <c r="AE36" i="3"/>
  <c r="AE38" i="3"/>
  <c r="AE35" i="3"/>
  <c r="AE37" i="3"/>
  <c r="AE39" i="3"/>
  <c r="AE40" i="3"/>
  <c r="AE25" i="3"/>
  <c r="AE41" i="3"/>
  <c r="AE14" i="3"/>
  <c r="F47" i="1"/>
  <c r="D47" i="1"/>
  <c r="E47" i="1"/>
  <c r="G47" i="1"/>
  <c r="H47" i="1"/>
  <c r="I47" i="1"/>
  <c r="J47" i="1"/>
  <c r="K47" i="1"/>
  <c r="L47" i="1"/>
  <c r="M47" i="1"/>
  <c r="N47" i="1"/>
  <c r="O47" i="1"/>
  <c r="P47" i="1"/>
  <c r="Q47" i="1"/>
  <c r="R47" i="1"/>
  <c r="S47" i="1"/>
  <c r="T47" i="1"/>
  <c r="U47" i="1"/>
  <c r="V47" i="1"/>
  <c r="AE15" i="4"/>
  <c r="C48" i="1"/>
  <c r="B47" i="1"/>
  <c r="B41" i="3"/>
  <c r="AE12" i="3"/>
  <c r="AF13" i="3"/>
  <c r="C42" i="3"/>
  <c r="AE42" i="3" s="1"/>
  <c r="AF16" i="4"/>
  <c r="AF19" i="4" l="1"/>
  <c r="AF21" i="4"/>
  <c r="AF26" i="4"/>
  <c r="AF18" i="4"/>
  <c r="AF22" i="4"/>
  <c r="AF17" i="4"/>
  <c r="AF20" i="4"/>
  <c r="AF27" i="4"/>
  <c r="AF28" i="4"/>
  <c r="AF25" i="4"/>
  <c r="AF24" i="4"/>
  <c r="AF23" i="4"/>
  <c r="D42" i="3"/>
  <c r="E42" i="3"/>
  <c r="F42" i="3"/>
  <c r="G42" i="3"/>
  <c r="H42" i="3"/>
  <c r="I42" i="3"/>
  <c r="J42" i="3"/>
  <c r="K42" i="3"/>
  <c r="L42" i="3"/>
  <c r="M42" i="3"/>
  <c r="N42" i="3"/>
  <c r="O42" i="3"/>
  <c r="P42" i="3"/>
  <c r="Q42" i="3"/>
  <c r="R42" i="3"/>
  <c r="S42" i="3"/>
  <c r="T42" i="3"/>
  <c r="U42" i="3"/>
  <c r="V42" i="3"/>
  <c r="W42" i="3"/>
  <c r="X42" i="3"/>
  <c r="Y42" i="3"/>
  <c r="Z42" i="3"/>
  <c r="AA42" i="3"/>
  <c r="AB42" i="3"/>
  <c r="AC42" i="3"/>
  <c r="AD42" i="3"/>
  <c r="AF18" i="3"/>
  <c r="AF15" i="3"/>
  <c r="AF17" i="3"/>
  <c r="AF16" i="3"/>
  <c r="AF19" i="3"/>
  <c r="AF23" i="3"/>
  <c r="AF22" i="3"/>
  <c r="AF21" i="3"/>
  <c r="AF20" i="3"/>
  <c r="AF25" i="3"/>
  <c r="AF26" i="3"/>
  <c r="AF27" i="3"/>
  <c r="AF24" i="3"/>
  <c r="AF28" i="3"/>
  <c r="AF33" i="3"/>
  <c r="AF38" i="3"/>
  <c r="AF32" i="3"/>
  <c r="AF34" i="3"/>
  <c r="AF30" i="3"/>
  <c r="AF29" i="3"/>
  <c r="AF31" i="3"/>
  <c r="AF36" i="3"/>
  <c r="AF39" i="3"/>
  <c r="AF40" i="3"/>
  <c r="AF42" i="3"/>
  <c r="AF35" i="3"/>
  <c r="AF41" i="3"/>
  <c r="AF37" i="3"/>
  <c r="AF14" i="3"/>
  <c r="F48" i="1"/>
  <c r="D48" i="1"/>
  <c r="E48" i="1"/>
  <c r="G48" i="1"/>
  <c r="H48" i="1"/>
  <c r="I48" i="1"/>
  <c r="J48" i="1"/>
  <c r="K48" i="1"/>
  <c r="L48" i="1"/>
  <c r="M48" i="1"/>
  <c r="N48" i="1"/>
  <c r="O48" i="1"/>
  <c r="P48" i="1"/>
  <c r="Q48" i="1"/>
  <c r="R48" i="1"/>
  <c r="S48" i="1"/>
  <c r="T48" i="1"/>
  <c r="U48" i="1"/>
  <c r="V48" i="1"/>
  <c r="AF15" i="4"/>
  <c r="C49" i="1"/>
  <c r="B48" i="1"/>
  <c r="B42" i="3"/>
  <c r="AF12" i="3"/>
  <c r="AG13" i="3"/>
  <c r="C43" i="3"/>
  <c r="AG16" i="4"/>
  <c r="D43" i="3" l="1"/>
  <c r="E43" i="3"/>
  <c r="F43" i="3"/>
  <c r="G43" i="3"/>
  <c r="H43" i="3"/>
  <c r="I43" i="3"/>
  <c r="J43" i="3"/>
  <c r="K43" i="3"/>
  <c r="L43" i="3"/>
  <c r="M43" i="3"/>
  <c r="N43" i="3"/>
  <c r="O43" i="3"/>
  <c r="P43" i="3"/>
  <c r="Q43" i="3"/>
  <c r="R43" i="3"/>
  <c r="S43" i="3"/>
  <c r="T43" i="3"/>
  <c r="U43" i="3"/>
  <c r="V43" i="3"/>
  <c r="W43" i="3"/>
  <c r="X43" i="3"/>
  <c r="Y43" i="3"/>
  <c r="Z43" i="3"/>
  <c r="AA43" i="3"/>
  <c r="AB43" i="3"/>
  <c r="AC43" i="3"/>
  <c r="AD43" i="3"/>
  <c r="AE43" i="3"/>
  <c r="AG14" i="3"/>
  <c r="AG15" i="3"/>
  <c r="AG16" i="3"/>
  <c r="AG20" i="3"/>
  <c r="AG21" i="3"/>
  <c r="AG18" i="3"/>
  <c r="AG17" i="3"/>
  <c r="AG19" i="3"/>
  <c r="AG23" i="3"/>
  <c r="AG24" i="3"/>
  <c r="AG29" i="3"/>
  <c r="AG28" i="3"/>
  <c r="AG30" i="3"/>
  <c r="AG22" i="3"/>
  <c r="AG25" i="3"/>
  <c r="AG27" i="3"/>
  <c r="AG34" i="3"/>
  <c r="AG36" i="3"/>
  <c r="AG33" i="3"/>
  <c r="AG35" i="3"/>
  <c r="AG31" i="3"/>
  <c r="AG32" i="3"/>
  <c r="AG40" i="3"/>
  <c r="AG26" i="3"/>
  <c r="AG38" i="3"/>
  <c r="AG41" i="3"/>
  <c r="AG43" i="3"/>
  <c r="AG39" i="3"/>
  <c r="AG42" i="3"/>
  <c r="AG37" i="3"/>
  <c r="AF43" i="3"/>
  <c r="AG22" i="4"/>
  <c r="AG21" i="4"/>
  <c r="AG27" i="4"/>
  <c r="AG26" i="4"/>
  <c r="AG18" i="4"/>
  <c r="AG25" i="4"/>
  <c r="AG24" i="4"/>
  <c r="AG19" i="4"/>
  <c r="AG28" i="4"/>
  <c r="AG23" i="4"/>
  <c r="AG17" i="4"/>
  <c r="AG20" i="4"/>
  <c r="D49" i="1"/>
  <c r="F49" i="1"/>
  <c r="E49" i="1"/>
  <c r="G49" i="1"/>
  <c r="H49" i="1"/>
  <c r="I49" i="1"/>
  <c r="J49" i="1"/>
  <c r="K49" i="1"/>
  <c r="L49" i="1"/>
  <c r="M49" i="1"/>
  <c r="N49" i="1"/>
  <c r="O49" i="1"/>
  <c r="P49" i="1"/>
  <c r="Q49" i="1"/>
  <c r="R49" i="1"/>
  <c r="S49" i="1"/>
  <c r="T49" i="1"/>
  <c r="U49" i="1"/>
  <c r="V49" i="1"/>
  <c r="AG15" i="4"/>
  <c r="C50" i="1"/>
  <c r="B49" i="1"/>
  <c r="B43" i="3"/>
  <c r="AG12" i="3"/>
  <c r="AH13" i="3"/>
  <c r="C44" i="3"/>
  <c r="AH16" i="4"/>
  <c r="AH23" i="4" l="1"/>
  <c r="AH25" i="4"/>
  <c r="AH21" i="4"/>
  <c r="AH17" i="4"/>
  <c r="AH18" i="4"/>
  <c r="AH26" i="4"/>
  <c r="AH20" i="4"/>
  <c r="AH24" i="4"/>
  <c r="AH28" i="4"/>
  <c r="AH27" i="4"/>
  <c r="AH22" i="4"/>
  <c r="AH19" i="4"/>
  <c r="D44" i="3"/>
  <c r="E44" i="3"/>
  <c r="F44" i="3"/>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15" i="3"/>
  <c r="AH16" i="3"/>
  <c r="AH18" i="3"/>
  <c r="AH19" i="3"/>
  <c r="AH20" i="3"/>
  <c r="AH21" i="3"/>
  <c r="AH17" i="3"/>
  <c r="AH24" i="3"/>
  <c r="AH26" i="3"/>
  <c r="AH25" i="3"/>
  <c r="AH27" i="3"/>
  <c r="AH22" i="3"/>
  <c r="AH23" i="3"/>
  <c r="AH30" i="3"/>
  <c r="AH28" i="3"/>
  <c r="AH31" i="3"/>
  <c r="AH33" i="3"/>
  <c r="AH37" i="3"/>
  <c r="AH39" i="3"/>
  <c r="AH41" i="3"/>
  <c r="AH34" i="3"/>
  <c r="AH44" i="3"/>
  <c r="AH29" i="3"/>
  <c r="AH40" i="3"/>
  <c r="AH38" i="3"/>
  <c r="AH42" i="3"/>
  <c r="AH43" i="3"/>
  <c r="AH32" i="3"/>
  <c r="AH35" i="3"/>
  <c r="AH36" i="3"/>
  <c r="AH14" i="3"/>
  <c r="F50" i="1"/>
  <c r="E50" i="1"/>
  <c r="D50" i="1"/>
  <c r="G50" i="1"/>
  <c r="H50" i="1"/>
  <c r="I50" i="1"/>
  <c r="J50" i="1"/>
  <c r="K50" i="1"/>
  <c r="L50" i="1"/>
  <c r="M50" i="1"/>
  <c r="N50" i="1"/>
  <c r="O50" i="1"/>
  <c r="P50" i="1"/>
  <c r="Q50" i="1"/>
  <c r="R50" i="1"/>
  <c r="S50" i="1"/>
  <c r="T50" i="1"/>
  <c r="U50" i="1"/>
  <c r="V50" i="1"/>
  <c r="AH15" i="4"/>
  <c r="C51" i="1"/>
  <c r="B50" i="1"/>
  <c r="B44" i="3"/>
  <c r="AH12" i="3"/>
  <c r="AI13" i="3"/>
  <c r="C45" i="3"/>
  <c r="AH45" i="3" s="1"/>
  <c r="AI16" i="4"/>
  <c r="AI18" i="4" l="1"/>
  <c r="AI23" i="4"/>
  <c r="AI19" i="4"/>
  <c r="AI27" i="4"/>
  <c r="AI26" i="4"/>
  <c r="AI25" i="4"/>
  <c r="AI21" i="4"/>
  <c r="AI28" i="4"/>
  <c r="AI17" i="4"/>
  <c r="AI24" i="4"/>
  <c r="AI22" i="4"/>
  <c r="AI20" i="4"/>
  <c r="D45" i="3"/>
  <c r="E45" i="3"/>
  <c r="F45" i="3"/>
  <c r="G45" i="3"/>
  <c r="H45" i="3"/>
  <c r="I45" i="3"/>
  <c r="J45" i="3"/>
  <c r="K45" i="3"/>
  <c r="L45" i="3"/>
  <c r="M45" i="3"/>
  <c r="N45" i="3"/>
  <c r="O45" i="3"/>
  <c r="P45" i="3"/>
  <c r="Q45" i="3"/>
  <c r="R45" i="3"/>
  <c r="S45" i="3"/>
  <c r="T45" i="3"/>
  <c r="U45" i="3"/>
  <c r="V45" i="3"/>
  <c r="W45" i="3"/>
  <c r="X45" i="3"/>
  <c r="Y45" i="3"/>
  <c r="Z45" i="3"/>
  <c r="AA45" i="3"/>
  <c r="AB45" i="3"/>
  <c r="AC45" i="3"/>
  <c r="AD45" i="3"/>
  <c r="AE45" i="3"/>
  <c r="AF45" i="3"/>
  <c r="AG45" i="3"/>
  <c r="AI16" i="3"/>
  <c r="AI15" i="3"/>
  <c r="AI18" i="3"/>
  <c r="AI17" i="3"/>
  <c r="AI19" i="3"/>
  <c r="AI22" i="3"/>
  <c r="AI24" i="3"/>
  <c r="AI20" i="3"/>
  <c r="AI21" i="3"/>
  <c r="AI23" i="3"/>
  <c r="AI33" i="3"/>
  <c r="AI35" i="3"/>
  <c r="AI28" i="3"/>
  <c r="AI30" i="3"/>
  <c r="AI32" i="3"/>
  <c r="AI25" i="3"/>
  <c r="AI26" i="3"/>
  <c r="AI29" i="3"/>
  <c r="AI31" i="3"/>
  <c r="AI27" i="3"/>
  <c r="AI37" i="3"/>
  <c r="AI39" i="3"/>
  <c r="AI34" i="3"/>
  <c r="AI36" i="3"/>
  <c r="AI38" i="3"/>
  <c r="AI40" i="3"/>
  <c r="AI41" i="3"/>
  <c r="AI44" i="3"/>
  <c r="AI43" i="3"/>
  <c r="AI45" i="3"/>
  <c r="AI42" i="3"/>
  <c r="AI14" i="3"/>
  <c r="F51" i="1"/>
  <c r="E51" i="1"/>
  <c r="D51" i="1"/>
  <c r="G51" i="1"/>
  <c r="H51" i="1"/>
  <c r="I51" i="1"/>
  <c r="J51" i="1"/>
  <c r="K51" i="1"/>
  <c r="L51" i="1"/>
  <c r="M51" i="1"/>
  <c r="N51" i="1"/>
  <c r="O51" i="1"/>
  <c r="P51" i="1"/>
  <c r="Q51" i="1"/>
  <c r="R51" i="1"/>
  <c r="S51" i="1"/>
  <c r="T51" i="1"/>
  <c r="U51" i="1"/>
  <c r="V51" i="1"/>
  <c r="AI15" i="4"/>
  <c r="C52" i="1"/>
  <c r="B51" i="1"/>
  <c r="B45" i="3"/>
  <c r="AI12" i="3"/>
  <c r="AJ13" i="3"/>
  <c r="C46" i="3"/>
  <c r="AJ16" i="4"/>
  <c r="AJ18" i="4" l="1"/>
  <c r="AJ17" i="4"/>
  <c r="AJ22" i="4"/>
  <c r="AJ19" i="4"/>
  <c r="AJ23" i="4"/>
  <c r="AJ21" i="4"/>
  <c r="AJ28" i="4"/>
  <c r="AJ24" i="4"/>
  <c r="AJ20" i="4"/>
  <c r="AJ25" i="4"/>
  <c r="AJ26" i="4"/>
  <c r="AJ27" i="4"/>
  <c r="D46" i="3"/>
  <c r="E46" i="3"/>
  <c r="F46" i="3"/>
  <c r="G46" i="3"/>
  <c r="H46" i="3"/>
  <c r="I46" i="3"/>
  <c r="J46" i="3"/>
  <c r="K46" i="3"/>
  <c r="L46" i="3"/>
  <c r="M46" i="3"/>
  <c r="N46" i="3"/>
  <c r="O46" i="3"/>
  <c r="P46" i="3"/>
  <c r="Q46" i="3"/>
  <c r="R46" i="3"/>
  <c r="S46" i="3"/>
  <c r="T46" i="3"/>
  <c r="U46" i="3"/>
  <c r="V46" i="3"/>
  <c r="W46" i="3"/>
  <c r="X46" i="3"/>
  <c r="Y46" i="3"/>
  <c r="Z46" i="3"/>
  <c r="AA46" i="3"/>
  <c r="AB46" i="3"/>
  <c r="AC46" i="3"/>
  <c r="AD46" i="3"/>
  <c r="AE46" i="3"/>
  <c r="AF46" i="3"/>
  <c r="AG46" i="3"/>
  <c r="AH46" i="3"/>
  <c r="AJ15" i="3"/>
  <c r="AJ17" i="3"/>
  <c r="AJ16" i="3"/>
  <c r="AJ20" i="3"/>
  <c r="AJ22" i="3"/>
  <c r="AJ21" i="3"/>
  <c r="AJ23" i="3"/>
  <c r="AJ19" i="3"/>
  <c r="AJ18" i="3"/>
  <c r="AJ24" i="3"/>
  <c r="AJ30" i="3"/>
  <c r="AJ25" i="3"/>
  <c r="AJ26" i="3"/>
  <c r="AJ29" i="3"/>
  <c r="AJ32" i="3"/>
  <c r="AJ28" i="3"/>
  <c r="AJ35" i="3"/>
  <c r="AJ33" i="3"/>
  <c r="AJ31" i="3"/>
  <c r="AJ27" i="3"/>
  <c r="AJ34" i="3"/>
  <c r="AJ36" i="3"/>
  <c r="AJ37" i="3"/>
  <c r="AJ40" i="3"/>
  <c r="AJ42" i="3"/>
  <c r="AJ39" i="3"/>
  <c r="AJ41" i="3"/>
  <c r="AJ43" i="3"/>
  <c r="AJ44" i="3"/>
  <c r="AJ38" i="3"/>
  <c r="AJ46" i="3"/>
  <c r="AJ45" i="3"/>
  <c r="AJ14" i="3"/>
  <c r="AI46" i="3"/>
  <c r="F52" i="1"/>
  <c r="E52" i="1"/>
  <c r="D52" i="1"/>
  <c r="G52" i="1"/>
  <c r="H52" i="1"/>
  <c r="I52" i="1"/>
  <c r="J52" i="1"/>
  <c r="K52" i="1"/>
  <c r="L52" i="1"/>
  <c r="M52" i="1"/>
  <c r="N52" i="1"/>
  <c r="O52" i="1"/>
  <c r="P52" i="1"/>
  <c r="Q52" i="1"/>
  <c r="R52" i="1"/>
  <c r="S52" i="1"/>
  <c r="T52" i="1"/>
  <c r="U52" i="1"/>
  <c r="V52" i="1"/>
  <c r="AJ15" i="4"/>
  <c r="C53" i="1"/>
  <c r="B52" i="1"/>
  <c r="B46" i="3"/>
  <c r="AJ12" i="3"/>
  <c r="AK13" i="3"/>
  <c r="C47" i="3"/>
  <c r="AJ47" i="3" s="1"/>
  <c r="AK16" i="4"/>
  <c r="AK18" i="4" l="1"/>
  <c r="AK26" i="4"/>
  <c r="AK25" i="4"/>
  <c r="AK24" i="4"/>
  <c r="AK23" i="4"/>
  <c r="AK27" i="4"/>
  <c r="AK17" i="4"/>
  <c r="AK19" i="4"/>
  <c r="AK21" i="4"/>
  <c r="AK22" i="4"/>
  <c r="AK20" i="4"/>
  <c r="AK28" i="4"/>
  <c r="AK14" i="3"/>
  <c r="AK19" i="3"/>
  <c r="AK16" i="3"/>
  <c r="AK17" i="3"/>
  <c r="AK15" i="3"/>
  <c r="AK21" i="3"/>
  <c r="AK20" i="3"/>
  <c r="AK18" i="3"/>
  <c r="AK23" i="3"/>
  <c r="AK22" i="3"/>
  <c r="AK25" i="3"/>
  <c r="AK26" i="3"/>
  <c r="AK29" i="3"/>
  <c r="AK27" i="3"/>
  <c r="AK24" i="3"/>
  <c r="AK28" i="3"/>
  <c r="AK30" i="3"/>
  <c r="AK34" i="3"/>
  <c r="AK36" i="3"/>
  <c r="AK32" i="3"/>
  <c r="AK33" i="3"/>
  <c r="AK35" i="3"/>
  <c r="AK37" i="3"/>
  <c r="AK41" i="3"/>
  <c r="AK47" i="3"/>
  <c r="AK39" i="3"/>
  <c r="AK38" i="3"/>
  <c r="AK31" i="3"/>
  <c r="AK42" i="3"/>
  <c r="AK44" i="3"/>
  <c r="AK45" i="3"/>
  <c r="AK43" i="3"/>
  <c r="AK40" i="3"/>
  <c r="AK46" i="3"/>
  <c r="D47" i="3"/>
  <c r="E47" i="3"/>
  <c r="F47" i="3"/>
  <c r="G47" i="3"/>
  <c r="H47" i="3"/>
  <c r="I47" i="3"/>
  <c r="J47" i="3"/>
  <c r="K47" i="3"/>
  <c r="L47" i="3"/>
  <c r="M47" i="3"/>
  <c r="N47" i="3"/>
  <c r="O47" i="3"/>
  <c r="P47" i="3"/>
  <c r="Q47" i="3"/>
  <c r="R47" i="3"/>
  <c r="S47" i="3"/>
  <c r="T47" i="3"/>
  <c r="U47" i="3"/>
  <c r="V47" i="3"/>
  <c r="W47" i="3"/>
  <c r="X47" i="3"/>
  <c r="Y47" i="3"/>
  <c r="Z47" i="3"/>
  <c r="AA47" i="3"/>
  <c r="AB47" i="3"/>
  <c r="AC47" i="3"/>
  <c r="AD47" i="3"/>
  <c r="AE47" i="3"/>
  <c r="AF47" i="3"/>
  <c r="AG47" i="3"/>
  <c r="AH47" i="3"/>
  <c r="AI47" i="3"/>
  <c r="E53" i="1"/>
  <c r="D53" i="1"/>
  <c r="F53" i="1"/>
  <c r="G53" i="1"/>
  <c r="H53" i="1"/>
  <c r="I53" i="1"/>
  <c r="J53" i="1"/>
  <c r="K53" i="1"/>
  <c r="L53" i="1"/>
  <c r="M53" i="1"/>
  <c r="N53" i="1"/>
  <c r="O53" i="1"/>
  <c r="P53" i="1"/>
  <c r="Q53" i="1"/>
  <c r="R53" i="1"/>
  <c r="S53" i="1"/>
  <c r="T53" i="1"/>
  <c r="U53" i="1"/>
  <c r="V53" i="1"/>
  <c r="AK15" i="4"/>
  <c r="C54" i="1"/>
  <c r="B53" i="1"/>
  <c r="B47" i="3"/>
  <c r="AK12" i="3"/>
  <c r="AL13" i="3"/>
  <c r="C48" i="3"/>
  <c r="AK48" i="3" s="1"/>
  <c r="AL16" i="4"/>
  <c r="AL17" i="3" l="1"/>
  <c r="AL16" i="3"/>
  <c r="AL18" i="3"/>
  <c r="AL15" i="3"/>
  <c r="AL22" i="3"/>
  <c r="AL20" i="3"/>
  <c r="AL21" i="3"/>
  <c r="AL19" i="3"/>
  <c r="AL24" i="3"/>
  <c r="AL26" i="3"/>
  <c r="AL25" i="3"/>
  <c r="AL27" i="3"/>
  <c r="AL23" i="3"/>
  <c r="AL31" i="3"/>
  <c r="AL32" i="3"/>
  <c r="AL40" i="3"/>
  <c r="AL42" i="3"/>
  <c r="AL30" i="3"/>
  <c r="AL28" i="3"/>
  <c r="AL29" i="3"/>
  <c r="AL43" i="3"/>
  <c r="AL45" i="3"/>
  <c r="AL38" i="3"/>
  <c r="AL34" i="3"/>
  <c r="AL41" i="3"/>
  <c r="AL44" i="3"/>
  <c r="AL46" i="3"/>
  <c r="AL33" i="3"/>
  <c r="AL36" i="3"/>
  <c r="AL35" i="3"/>
  <c r="AL37" i="3"/>
  <c r="AL39" i="3"/>
  <c r="AL48" i="3"/>
  <c r="AL47" i="3"/>
  <c r="AL14" i="3"/>
  <c r="AL28" i="4"/>
  <c r="AL22" i="4"/>
  <c r="AL27" i="4"/>
  <c r="AL21" i="4"/>
  <c r="AL24" i="4"/>
  <c r="AL25" i="4"/>
  <c r="AL23" i="4"/>
  <c r="AL18" i="4"/>
  <c r="AL17" i="4"/>
  <c r="AL19" i="4"/>
  <c r="AL20" i="4"/>
  <c r="AL26" i="4"/>
  <c r="D48" i="3"/>
  <c r="E48" i="3"/>
  <c r="F48" i="3"/>
  <c r="G48" i="3"/>
  <c r="H48" i="3"/>
  <c r="I48" i="3"/>
  <c r="J48" i="3"/>
  <c r="K48" i="3"/>
  <c r="L48" i="3"/>
  <c r="M48" i="3"/>
  <c r="N48" i="3"/>
  <c r="O48" i="3"/>
  <c r="P48" i="3"/>
  <c r="Q48" i="3"/>
  <c r="R48" i="3"/>
  <c r="S48" i="3"/>
  <c r="T48" i="3"/>
  <c r="U48" i="3"/>
  <c r="V48" i="3"/>
  <c r="W48" i="3"/>
  <c r="X48" i="3"/>
  <c r="Y48" i="3"/>
  <c r="Z48" i="3"/>
  <c r="AA48" i="3"/>
  <c r="AB48" i="3"/>
  <c r="AC48" i="3"/>
  <c r="AD48" i="3"/>
  <c r="AE48" i="3"/>
  <c r="AF48" i="3"/>
  <c r="AG48" i="3"/>
  <c r="AH48" i="3"/>
  <c r="AI48" i="3"/>
  <c r="AJ48" i="3"/>
  <c r="AL15" i="4"/>
  <c r="D54" i="1"/>
  <c r="F54" i="1"/>
  <c r="E54" i="1"/>
  <c r="G54" i="1"/>
  <c r="H54" i="1"/>
  <c r="I54" i="1"/>
  <c r="J54" i="1"/>
  <c r="K54" i="1"/>
  <c r="L54" i="1"/>
  <c r="M54" i="1"/>
  <c r="N54" i="1"/>
  <c r="O54" i="1"/>
  <c r="P54" i="1"/>
  <c r="Q54" i="1"/>
  <c r="R54" i="1"/>
  <c r="S54" i="1"/>
  <c r="T54" i="1"/>
  <c r="U54" i="1"/>
  <c r="V54" i="1"/>
  <c r="C55" i="1"/>
  <c r="B54" i="1"/>
  <c r="B48" i="3"/>
  <c r="AL12" i="3"/>
  <c r="AM13" i="3"/>
  <c r="C49" i="3"/>
  <c r="AL49" i="3" s="1"/>
  <c r="AM16" i="4"/>
  <c r="AM26" i="4" l="1"/>
  <c r="AM18" i="4"/>
  <c r="AM24" i="4"/>
  <c r="AM20" i="4"/>
  <c r="AM25" i="4"/>
  <c r="AM17" i="4"/>
  <c r="AM22" i="4"/>
  <c r="AM27" i="4"/>
  <c r="AM23" i="4"/>
  <c r="AM28" i="4"/>
  <c r="AM19" i="4"/>
  <c r="AM21" i="4"/>
  <c r="D49" i="3"/>
  <c r="E49" i="3"/>
  <c r="F49" i="3"/>
  <c r="G49" i="3"/>
  <c r="H49" i="3"/>
  <c r="I49" i="3"/>
  <c r="J49" i="3"/>
  <c r="K49" i="3"/>
  <c r="L49" i="3"/>
  <c r="M49" i="3"/>
  <c r="N49" i="3"/>
  <c r="O49" i="3"/>
  <c r="P49" i="3"/>
  <c r="Q49" i="3"/>
  <c r="R49" i="3"/>
  <c r="S49" i="3"/>
  <c r="T49" i="3"/>
  <c r="U49" i="3"/>
  <c r="V49" i="3"/>
  <c r="W49" i="3"/>
  <c r="X49" i="3"/>
  <c r="Y49" i="3"/>
  <c r="Z49" i="3"/>
  <c r="AA49" i="3"/>
  <c r="AB49" i="3"/>
  <c r="AC49" i="3"/>
  <c r="AD49" i="3"/>
  <c r="AE49" i="3"/>
  <c r="AF49" i="3"/>
  <c r="AG49" i="3"/>
  <c r="AH49" i="3"/>
  <c r="AI49" i="3"/>
  <c r="AJ49" i="3"/>
  <c r="AK49" i="3"/>
  <c r="AM19" i="3"/>
  <c r="AM15" i="3"/>
  <c r="AM18" i="3"/>
  <c r="AM16" i="3"/>
  <c r="AM17" i="3"/>
  <c r="AM23" i="3"/>
  <c r="AM20" i="3"/>
  <c r="AM24" i="3"/>
  <c r="AM22" i="3"/>
  <c r="AM29" i="3"/>
  <c r="AM31" i="3"/>
  <c r="AM27" i="3"/>
  <c r="AM21" i="3"/>
  <c r="AM33" i="3"/>
  <c r="AM28" i="3"/>
  <c r="AM30" i="3"/>
  <c r="AM32" i="3"/>
  <c r="AM25" i="3"/>
  <c r="AM26" i="3"/>
  <c r="AM35" i="3"/>
  <c r="AM37" i="3"/>
  <c r="AM39" i="3"/>
  <c r="AM34" i="3"/>
  <c r="AM36" i="3"/>
  <c r="AM38" i="3"/>
  <c r="AM44" i="3"/>
  <c r="AM40" i="3"/>
  <c r="AM46" i="3"/>
  <c r="AM43" i="3"/>
  <c r="AM47" i="3"/>
  <c r="AM49" i="3"/>
  <c r="AM42" i="3"/>
  <c r="AM41" i="3"/>
  <c r="AM45" i="3"/>
  <c r="AM48" i="3"/>
  <c r="AM14" i="3"/>
  <c r="E55" i="1"/>
  <c r="F55" i="1"/>
  <c r="D55" i="1"/>
  <c r="G55" i="1"/>
  <c r="H55" i="1"/>
  <c r="I55" i="1"/>
  <c r="J55" i="1"/>
  <c r="K55" i="1"/>
  <c r="L55" i="1"/>
  <c r="M55" i="1"/>
  <c r="N55" i="1"/>
  <c r="O55" i="1"/>
  <c r="P55" i="1"/>
  <c r="Q55" i="1"/>
  <c r="R55" i="1"/>
  <c r="S55" i="1"/>
  <c r="T55" i="1"/>
  <c r="U55" i="1"/>
  <c r="V55" i="1"/>
  <c r="AM15" i="4"/>
  <c r="C56" i="1"/>
  <c r="B55" i="1"/>
  <c r="B49" i="3"/>
  <c r="AM12" i="3"/>
  <c r="AN13" i="3"/>
  <c r="C50" i="3"/>
  <c r="AM50" i="3" s="1"/>
  <c r="AN16" i="4"/>
  <c r="AN20" i="4" l="1"/>
  <c r="AN17" i="4"/>
  <c r="AN22" i="4"/>
  <c r="AN18" i="4"/>
  <c r="AN28" i="4"/>
  <c r="AN19" i="4"/>
  <c r="AN24" i="4"/>
  <c r="AN21" i="4"/>
  <c r="AN23" i="4"/>
  <c r="AN26" i="4"/>
  <c r="AN25" i="4"/>
  <c r="AN27" i="4"/>
  <c r="D50" i="3"/>
  <c r="E50" i="3"/>
  <c r="F50" i="3"/>
  <c r="G50" i="3"/>
  <c r="H50" i="3"/>
  <c r="I50" i="3"/>
  <c r="J50" i="3"/>
  <c r="K50" i="3"/>
  <c r="L50" i="3"/>
  <c r="M50" i="3"/>
  <c r="N50" i="3"/>
  <c r="O50" i="3"/>
  <c r="P50" i="3"/>
  <c r="Q50" i="3"/>
  <c r="R50" i="3"/>
  <c r="S50" i="3"/>
  <c r="T50" i="3"/>
  <c r="U50" i="3"/>
  <c r="V50" i="3"/>
  <c r="W50" i="3"/>
  <c r="X50" i="3"/>
  <c r="Y50" i="3"/>
  <c r="Z50" i="3"/>
  <c r="AA50" i="3"/>
  <c r="AB50" i="3"/>
  <c r="AC50" i="3"/>
  <c r="AD50" i="3"/>
  <c r="AE50" i="3"/>
  <c r="AF50" i="3"/>
  <c r="AG50" i="3"/>
  <c r="AH50" i="3"/>
  <c r="AI50" i="3"/>
  <c r="AJ50" i="3"/>
  <c r="AK50" i="3"/>
  <c r="AL50" i="3"/>
  <c r="AN15" i="3"/>
  <c r="AN19" i="3"/>
  <c r="AN17" i="3"/>
  <c r="AN18" i="3"/>
  <c r="AN16" i="3"/>
  <c r="AN20" i="3"/>
  <c r="AN23" i="3"/>
  <c r="AN22" i="3"/>
  <c r="AN21" i="3"/>
  <c r="AN24" i="3"/>
  <c r="AN26" i="3"/>
  <c r="AN28" i="3"/>
  <c r="AN27" i="3"/>
  <c r="AN25" i="3"/>
  <c r="AN31" i="3"/>
  <c r="AN34" i="3"/>
  <c r="AN29" i="3"/>
  <c r="AN39" i="3"/>
  <c r="AN33" i="3"/>
  <c r="AN30" i="3"/>
  <c r="AN37" i="3"/>
  <c r="AN41" i="3"/>
  <c r="AN43" i="3"/>
  <c r="AN36" i="3"/>
  <c r="AN32" i="3"/>
  <c r="AN35" i="3"/>
  <c r="AN40" i="3"/>
  <c r="AN42" i="3"/>
  <c r="AN38" i="3"/>
  <c r="AN46" i="3"/>
  <c r="AN44" i="3"/>
  <c r="AN49" i="3"/>
  <c r="AN47" i="3"/>
  <c r="AN50" i="3"/>
  <c r="AN45" i="3"/>
  <c r="AN48" i="3"/>
  <c r="AN14" i="3"/>
  <c r="AN15" i="4"/>
  <c r="F56" i="1"/>
  <c r="E56" i="1"/>
  <c r="D56" i="1"/>
  <c r="G56" i="1"/>
  <c r="H56" i="1"/>
  <c r="I56" i="1"/>
  <c r="J56" i="1"/>
  <c r="K56" i="1"/>
  <c r="L56" i="1"/>
  <c r="M56" i="1"/>
  <c r="N56" i="1"/>
  <c r="O56" i="1"/>
  <c r="P56" i="1"/>
  <c r="Q56" i="1"/>
  <c r="R56" i="1"/>
  <c r="S56" i="1"/>
  <c r="T56" i="1"/>
  <c r="U56" i="1"/>
  <c r="V56" i="1"/>
  <c r="C57" i="1"/>
  <c r="B56" i="1"/>
  <c r="B50" i="3"/>
  <c r="AN12" i="3"/>
  <c r="AO13" i="3"/>
  <c r="C51" i="3"/>
  <c r="AN51" i="3" s="1"/>
  <c r="AO16" i="4"/>
  <c r="D51" i="3" l="1"/>
  <c r="E51" i="3"/>
  <c r="F51" i="3"/>
  <c r="G51" i="3"/>
  <c r="H51" i="3"/>
  <c r="I51" i="3"/>
  <c r="J51" i="3"/>
  <c r="K51" i="3"/>
  <c r="L51" i="3"/>
  <c r="M51" i="3"/>
  <c r="N51" i="3"/>
  <c r="O51" i="3"/>
  <c r="P51" i="3"/>
  <c r="Q51" i="3"/>
  <c r="R51" i="3"/>
  <c r="S51" i="3"/>
  <c r="T51" i="3"/>
  <c r="U51" i="3"/>
  <c r="V51" i="3"/>
  <c r="W51" i="3"/>
  <c r="X51" i="3"/>
  <c r="Y51" i="3"/>
  <c r="Z51" i="3"/>
  <c r="AA51" i="3"/>
  <c r="AB51" i="3"/>
  <c r="AC51" i="3"/>
  <c r="AD51" i="3"/>
  <c r="AE51" i="3"/>
  <c r="AF51" i="3"/>
  <c r="AG51" i="3"/>
  <c r="AH51" i="3"/>
  <c r="AI51" i="3"/>
  <c r="AJ51" i="3"/>
  <c r="AK51" i="3"/>
  <c r="AL51" i="3"/>
  <c r="AM51" i="3"/>
  <c r="AO16" i="3"/>
  <c r="AO15" i="3"/>
  <c r="AO21" i="3"/>
  <c r="AO17" i="3"/>
  <c r="AO18" i="3"/>
  <c r="AO20" i="3"/>
  <c r="AO19" i="3"/>
  <c r="AO25" i="3"/>
  <c r="AO22" i="3"/>
  <c r="AO23" i="3"/>
  <c r="AO28" i="3"/>
  <c r="AO30" i="3"/>
  <c r="AO26" i="3"/>
  <c r="AO24" i="3"/>
  <c r="AO29" i="3"/>
  <c r="AO33" i="3"/>
  <c r="AO35" i="3"/>
  <c r="AO32" i="3"/>
  <c r="AO31" i="3"/>
  <c r="AO34" i="3"/>
  <c r="AO36" i="3"/>
  <c r="AO27" i="3"/>
  <c r="AO37" i="3"/>
  <c r="AO39" i="3"/>
  <c r="AO45" i="3"/>
  <c r="AO42" i="3"/>
  <c r="AO47" i="3"/>
  <c r="AO49" i="3"/>
  <c r="AO51" i="3"/>
  <c r="AO40" i="3"/>
  <c r="AO41" i="3"/>
  <c r="AO44" i="3"/>
  <c r="AO46" i="3"/>
  <c r="AO48" i="3"/>
  <c r="AO50" i="3"/>
  <c r="AO43" i="3"/>
  <c r="AO38" i="3"/>
  <c r="AO14" i="3"/>
  <c r="AO24" i="4"/>
  <c r="AO19" i="4"/>
  <c r="AO18" i="4"/>
  <c r="AO27" i="4"/>
  <c r="AO25" i="4"/>
  <c r="AO20" i="4"/>
  <c r="AO22" i="4"/>
  <c r="AO23" i="4"/>
  <c r="AO21" i="4"/>
  <c r="AO26" i="4"/>
  <c r="AO28" i="4"/>
  <c r="AO17" i="4"/>
  <c r="D57" i="1"/>
  <c r="F57" i="1"/>
  <c r="E57" i="1"/>
  <c r="G57" i="1"/>
  <c r="H57" i="1"/>
  <c r="I57" i="1"/>
  <c r="J57" i="1"/>
  <c r="K57" i="1"/>
  <c r="L57" i="1"/>
  <c r="M57" i="1"/>
  <c r="N57" i="1"/>
  <c r="O57" i="1"/>
  <c r="P57" i="1"/>
  <c r="Q57" i="1"/>
  <c r="R57" i="1"/>
  <c r="S57" i="1"/>
  <c r="T57" i="1"/>
  <c r="U57" i="1"/>
  <c r="V57" i="1"/>
  <c r="AO15" i="4"/>
  <c r="C58" i="1"/>
  <c r="B57" i="1"/>
  <c r="B51" i="3"/>
  <c r="AO12" i="3"/>
  <c r="AP13" i="3"/>
  <c r="C52" i="3"/>
  <c r="AP16" i="4"/>
  <c r="AP23" i="4" l="1"/>
  <c r="AP26" i="4"/>
  <c r="AP24" i="4"/>
  <c r="AP27" i="4"/>
  <c r="AP21" i="4"/>
  <c r="AP17" i="4"/>
  <c r="AP22" i="4"/>
  <c r="AP25" i="4"/>
  <c r="AP19" i="4"/>
  <c r="AP28" i="4"/>
  <c r="AP20" i="4"/>
  <c r="AP18" i="4"/>
  <c r="D52" i="3"/>
  <c r="E52" i="3"/>
  <c r="F52" i="3"/>
  <c r="G52" i="3"/>
  <c r="H52" i="3"/>
  <c r="I52" i="3"/>
  <c r="J52" i="3"/>
  <c r="K52" i="3"/>
  <c r="L52" i="3"/>
  <c r="M52" i="3"/>
  <c r="N52" i="3"/>
  <c r="O52" i="3"/>
  <c r="P52" i="3"/>
  <c r="Q52" i="3"/>
  <c r="R52" i="3"/>
  <c r="S52" i="3"/>
  <c r="T52" i="3"/>
  <c r="U52" i="3"/>
  <c r="V52" i="3"/>
  <c r="W52" i="3"/>
  <c r="X52" i="3"/>
  <c r="Y52" i="3"/>
  <c r="Z52" i="3"/>
  <c r="AA52" i="3"/>
  <c r="AB52" i="3"/>
  <c r="AC52" i="3"/>
  <c r="AD52" i="3"/>
  <c r="AE52" i="3"/>
  <c r="AF52" i="3"/>
  <c r="AG52" i="3"/>
  <c r="AH52" i="3"/>
  <c r="AI52" i="3"/>
  <c r="AJ52" i="3"/>
  <c r="AK52" i="3"/>
  <c r="AL52" i="3"/>
  <c r="AM52" i="3"/>
  <c r="AN52" i="3"/>
  <c r="AP16" i="3"/>
  <c r="AP15" i="3"/>
  <c r="AP19" i="3"/>
  <c r="AP17" i="3"/>
  <c r="AP18" i="3"/>
  <c r="AP22" i="3"/>
  <c r="AP20" i="3"/>
  <c r="AP21" i="3"/>
  <c r="AP25" i="3"/>
  <c r="AP27" i="3"/>
  <c r="AP24" i="3"/>
  <c r="AP26" i="3"/>
  <c r="AP23" i="3"/>
  <c r="AP32" i="3"/>
  <c r="AP31" i="3"/>
  <c r="AP34" i="3"/>
  <c r="AP38" i="3"/>
  <c r="AP42" i="3"/>
  <c r="AP29" i="3"/>
  <c r="AP43" i="3"/>
  <c r="AP45" i="3"/>
  <c r="AP30" i="3"/>
  <c r="AP33" i="3"/>
  <c r="AP37" i="3"/>
  <c r="AP41" i="3"/>
  <c r="AP39" i="3"/>
  <c r="AP40" i="3"/>
  <c r="AP44" i="3"/>
  <c r="AP46" i="3"/>
  <c r="AP47" i="3"/>
  <c r="AP49" i="3"/>
  <c r="AP36" i="3"/>
  <c r="AP48" i="3"/>
  <c r="AP28" i="3"/>
  <c r="AP35" i="3"/>
  <c r="AP52" i="3"/>
  <c r="AP51" i="3"/>
  <c r="AP50" i="3"/>
  <c r="AP14" i="3"/>
  <c r="AO52" i="3"/>
  <c r="AP15" i="4"/>
  <c r="F58" i="1"/>
  <c r="D58" i="1"/>
  <c r="E58" i="1"/>
  <c r="G58" i="1"/>
  <c r="H58" i="1"/>
  <c r="I58" i="1"/>
  <c r="J58" i="1"/>
  <c r="K58" i="1"/>
  <c r="L58" i="1"/>
  <c r="M58" i="1"/>
  <c r="N58" i="1"/>
  <c r="O58" i="1"/>
  <c r="P58" i="1"/>
  <c r="Q58" i="1"/>
  <c r="R58" i="1"/>
  <c r="S58" i="1"/>
  <c r="T58" i="1"/>
  <c r="U58" i="1"/>
  <c r="V58" i="1"/>
  <c r="C59" i="1"/>
  <c r="B58" i="1"/>
  <c r="B52" i="3"/>
  <c r="AP12" i="3"/>
  <c r="AQ13" i="3"/>
  <c r="C53" i="3"/>
  <c r="AQ16" i="4"/>
  <c r="AQ18" i="3" l="1"/>
  <c r="AQ17" i="3"/>
  <c r="AQ15" i="3"/>
  <c r="AQ16" i="3"/>
  <c r="AQ23" i="3"/>
  <c r="AQ24" i="3"/>
  <c r="AQ20" i="3"/>
  <c r="AQ21" i="3"/>
  <c r="AQ22" i="3"/>
  <c r="AQ19" i="3"/>
  <c r="AQ34" i="3"/>
  <c r="AQ29" i="3"/>
  <c r="AQ31" i="3"/>
  <c r="AQ25" i="3"/>
  <c r="AQ26" i="3"/>
  <c r="AQ27" i="3"/>
  <c r="AQ28" i="3"/>
  <c r="AQ30" i="3"/>
  <c r="AQ32" i="3"/>
  <c r="AQ33" i="3"/>
  <c r="AQ36" i="3"/>
  <c r="AQ38" i="3"/>
  <c r="AQ35" i="3"/>
  <c r="AQ37" i="3"/>
  <c r="AQ39" i="3"/>
  <c r="AQ40" i="3"/>
  <c r="AQ48" i="3"/>
  <c r="AQ50" i="3"/>
  <c r="AQ52" i="3"/>
  <c r="AQ42" i="3"/>
  <c r="AQ53" i="3"/>
  <c r="AQ45" i="3"/>
  <c r="AQ47" i="3"/>
  <c r="AQ49" i="3"/>
  <c r="AQ51" i="3"/>
  <c r="AQ41" i="3"/>
  <c r="AQ44" i="3"/>
  <c r="AQ46" i="3"/>
  <c r="AQ14" i="3"/>
  <c r="AQ43" i="3"/>
  <c r="AQ19" i="4"/>
  <c r="AQ17" i="4"/>
  <c r="AQ18" i="4"/>
  <c r="AQ26" i="4"/>
  <c r="AQ25" i="4"/>
  <c r="AQ24" i="4"/>
  <c r="AQ23" i="4"/>
  <c r="AQ21" i="4"/>
  <c r="AQ28" i="4"/>
  <c r="AQ22" i="4"/>
  <c r="AQ27" i="4"/>
  <c r="AQ20" i="4"/>
  <c r="D53" i="3"/>
  <c r="E53" i="3"/>
  <c r="F53" i="3"/>
  <c r="G53" i="3"/>
  <c r="H53" i="3"/>
  <c r="I53" i="3"/>
  <c r="J53" i="3"/>
  <c r="K53" i="3"/>
  <c r="L53" i="3"/>
  <c r="M53" i="3"/>
  <c r="N53" i="3"/>
  <c r="O53" i="3"/>
  <c r="P53" i="3"/>
  <c r="Q53" i="3"/>
  <c r="R53" i="3"/>
  <c r="S53" i="3"/>
  <c r="T53" i="3"/>
  <c r="U53" i="3"/>
  <c r="V53" i="3"/>
  <c r="W53" i="3"/>
  <c r="X53" i="3"/>
  <c r="Y53" i="3"/>
  <c r="Z53" i="3"/>
  <c r="AA53" i="3"/>
  <c r="AB53" i="3"/>
  <c r="AC53" i="3"/>
  <c r="AD53" i="3"/>
  <c r="AE53" i="3"/>
  <c r="AF53" i="3"/>
  <c r="AG53" i="3"/>
  <c r="AH53" i="3"/>
  <c r="AI53" i="3"/>
  <c r="AJ53" i="3"/>
  <c r="AK53" i="3"/>
  <c r="AL53" i="3"/>
  <c r="AM53" i="3"/>
  <c r="AN53" i="3"/>
  <c r="AO53" i="3"/>
  <c r="AP53" i="3"/>
  <c r="D59" i="1"/>
  <c r="F59" i="1"/>
  <c r="E59" i="1"/>
  <c r="G59" i="1"/>
  <c r="H59" i="1"/>
  <c r="I59" i="1"/>
  <c r="J59" i="1"/>
  <c r="K59" i="1"/>
  <c r="L59" i="1"/>
  <c r="M59" i="1"/>
  <c r="N59" i="1"/>
  <c r="O59" i="1"/>
  <c r="P59" i="1"/>
  <c r="Q59" i="1"/>
  <c r="R59" i="1"/>
  <c r="S59" i="1"/>
  <c r="T59" i="1"/>
  <c r="U59" i="1"/>
  <c r="V59" i="1"/>
  <c r="AQ15" i="4"/>
  <c r="C60" i="1"/>
  <c r="B59" i="1"/>
  <c r="B53" i="3"/>
  <c r="AQ12" i="3"/>
  <c r="AR13" i="3"/>
  <c r="C54" i="3"/>
  <c r="AR16" i="4"/>
  <c r="AR19" i="4" l="1"/>
  <c r="AR22" i="4"/>
  <c r="AR17" i="4"/>
  <c r="AR25" i="4"/>
  <c r="AR27" i="4"/>
  <c r="AR24" i="4"/>
  <c r="AR20" i="4"/>
  <c r="AR18" i="4"/>
  <c r="AR21" i="4"/>
  <c r="AR26" i="4"/>
  <c r="AR23" i="4"/>
  <c r="AR28" i="4"/>
  <c r="D54" i="3"/>
  <c r="E54" i="3"/>
  <c r="F54" i="3"/>
  <c r="G54" i="3"/>
  <c r="H54" i="3"/>
  <c r="I54" i="3"/>
  <c r="J54" i="3"/>
  <c r="K54" i="3"/>
  <c r="L54" i="3"/>
  <c r="M54" i="3"/>
  <c r="N54" i="3"/>
  <c r="O54" i="3"/>
  <c r="P54" i="3"/>
  <c r="Q54" i="3"/>
  <c r="R54" i="3"/>
  <c r="S54" i="3"/>
  <c r="T54" i="3"/>
  <c r="U54" i="3"/>
  <c r="V54" i="3"/>
  <c r="W54" i="3"/>
  <c r="X54" i="3"/>
  <c r="Y54" i="3"/>
  <c r="Z54" i="3"/>
  <c r="AA54" i="3"/>
  <c r="AB54" i="3"/>
  <c r="AC54" i="3"/>
  <c r="AD54" i="3"/>
  <c r="AE54" i="3"/>
  <c r="AF54" i="3"/>
  <c r="AG54" i="3"/>
  <c r="AH54" i="3"/>
  <c r="AI54" i="3"/>
  <c r="AJ54" i="3"/>
  <c r="AK54" i="3"/>
  <c r="AL54" i="3"/>
  <c r="AM54" i="3"/>
  <c r="AN54" i="3"/>
  <c r="AO54" i="3"/>
  <c r="AP54" i="3"/>
  <c r="AR16" i="3"/>
  <c r="AR15" i="3"/>
  <c r="AR17" i="3"/>
  <c r="AR21" i="3"/>
  <c r="AR23" i="3"/>
  <c r="AR20" i="3"/>
  <c r="AR22" i="3"/>
  <c r="AR19" i="3"/>
  <c r="AR18" i="3"/>
  <c r="AR24" i="3"/>
  <c r="AR31" i="3"/>
  <c r="AR27" i="3"/>
  <c r="AR28" i="3"/>
  <c r="AR30" i="3"/>
  <c r="AR29" i="3"/>
  <c r="AR25" i="3"/>
  <c r="AR36" i="3"/>
  <c r="AR34" i="3"/>
  <c r="AR32" i="3"/>
  <c r="AR26" i="3"/>
  <c r="AR33" i="3"/>
  <c r="AR38" i="3"/>
  <c r="AR41" i="3"/>
  <c r="AR43" i="3"/>
  <c r="AR35" i="3"/>
  <c r="AR40" i="3"/>
  <c r="AR42" i="3"/>
  <c r="AR45" i="3"/>
  <c r="AR46" i="3"/>
  <c r="AR37" i="3"/>
  <c r="AR48" i="3"/>
  <c r="AR44" i="3"/>
  <c r="AR39" i="3"/>
  <c r="AR51" i="3"/>
  <c r="AR53" i="3"/>
  <c r="AR49" i="3"/>
  <c r="AR47" i="3"/>
  <c r="AR54" i="3"/>
  <c r="AR50" i="3"/>
  <c r="AR52" i="3"/>
  <c r="AR14" i="3"/>
  <c r="AQ54" i="3"/>
  <c r="AR15" i="4"/>
  <c r="F60" i="1"/>
  <c r="E60" i="1"/>
  <c r="D60" i="1"/>
  <c r="G60" i="1"/>
  <c r="H60" i="1"/>
  <c r="I60" i="1"/>
  <c r="J60" i="1"/>
  <c r="K60" i="1"/>
  <c r="L60" i="1"/>
  <c r="M60" i="1"/>
  <c r="N60" i="1"/>
  <c r="O60" i="1"/>
  <c r="P60" i="1"/>
  <c r="Q60" i="1"/>
  <c r="R60" i="1"/>
  <c r="S60" i="1"/>
  <c r="T60" i="1"/>
  <c r="U60" i="1"/>
  <c r="V60" i="1"/>
  <c r="C61" i="1"/>
  <c r="B60" i="1"/>
  <c r="B54" i="3"/>
  <c r="AR12" i="3"/>
  <c r="AS13" i="3"/>
  <c r="C55" i="3"/>
  <c r="AR55" i="3" s="1"/>
  <c r="AS16" i="4"/>
  <c r="AS16" i="3" l="1"/>
  <c r="AS17" i="3"/>
  <c r="AS19" i="3"/>
  <c r="AS21" i="3"/>
  <c r="AS15" i="3"/>
  <c r="AS18" i="3"/>
  <c r="AS20" i="3"/>
  <c r="AS23" i="3"/>
  <c r="AS22" i="3"/>
  <c r="AS26" i="3"/>
  <c r="AS27" i="3"/>
  <c r="AS28" i="3"/>
  <c r="AS30" i="3"/>
  <c r="AS25" i="3"/>
  <c r="AS29" i="3"/>
  <c r="AS24" i="3"/>
  <c r="AS37" i="3"/>
  <c r="AS31" i="3"/>
  <c r="AS33" i="3"/>
  <c r="AS35" i="3"/>
  <c r="AS34" i="3"/>
  <c r="AS36" i="3"/>
  <c r="AS38" i="3"/>
  <c r="AS42" i="3"/>
  <c r="AS39" i="3"/>
  <c r="AS41" i="3"/>
  <c r="AS48" i="3"/>
  <c r="AS50" i="3"/>
  <c r="AS52" i="3"/>
  <c r="AS54" i="3"/>
  <c r="AS44" i="3"/>
  <c r="AS46" i="3"/>
  <c r="AS32" i="3"/>
  <c r="AS47" i="3"/>
  <c r="AS49" i="3"/>
  <c r="AS51" i="3"/>
  <c r="AS53" i="3"/>
  <c r="AS55" i="3"/>
  <c r="AS45" i="3"/>
  <c r="AS43" i="3"/>
  <c r="AS40" i="3"/>
  <c r="AS14" i="3"/>
  <c r="AS19" i="4"/>
  <c r="AS18" i="4"/>
  <c r="AS24" i="4"/>
  <c r="AS22" i="4"/>
  <c r="AS17" i="4"/>
  <c r="AS21" i="4"/>
  <c r="AS25" i="4"/>
  <c r="AS28" i="4"/>
  <c r="AS23" i="4"/>
  <c r="AS20" i="4"/>
  <c r="AS26" i="4"/>
  <c r="AS27" i="4"/>
  <c r="D55" i="3"/>
  <c r="E55" i="3"/>
  <c r="F55" i="3"/>
  <c r="G55" i="3"/>
  <c r="H55" i="3"/>
  <c r="I55" i="3"/>
  <c r="J55" i="3"/>
  <c r="K55" i="3"/>
  <c r="L55" i="3"/>
  <c r="M55" i="3"/>
  <c r="N55" i="3"/>
  <c r="O55" i="3"/>
  <c r="P55" i="3"/>
  <c r="Q55" i="3"/>
  <c r="R55" i="3"/>
  <c r="S55" i="3"/>
  <c r="T55" i="3"/>
  <c r="U55" i="3"/>
  <c r="V55" i="3"/>
  <c r="W55" i="3"/>
  <c r="X55" i="3"/>
  <c r="Y55" i="3"/>
  <c r="Z55" i="3"/>
  <c r="AA55" i="3"/>
  <c r="AB55" i="3"/>
  <c r="AC55" i="3"/>
  <c r="AD55" i="3"/>
  <c r="AE55" i="3"/>
  <c r="AF55" i="3"/>
  <c r="AG55" i="3"/>
  <c r="AH55" i="3"/>
  <c r="AI55" i="3"/>
  <c r="AJ55" i="3"/>
  <c r="AK55" i="3"/>
  <c r="AL55" i="3"/>
  <c r="AM55" i="3"/>
  <c r="AN55" i="3"/>
  <c r="AO55" i="3"/>
  <c r="AP55" i="3"/>
  <c r="AQ55" i="3"/>
  <c r="D61" i="1"/>
  <c r="F61" i="1"/>
  <c r="E61" i="1"/>
  <c r="G61" i="1"/>
  <c r="H61" i="1"/>
  <c r="I61" i="1"/>
  <c r="J61" i="1"/>
  <c r="K61" i="1"/>
  <c r="L61" i="1"/>
  <c r="M61" i="1"/>
  <c r="N61" i="1"/>
  <c r="O61" i="1"/>
  <c r="P61" i="1"/>
  <c r="Q61" i="1"/>
  <c r="R61" i="1"/>
  <c r="S61" i="1"/>
  <c r="T61" i="1"/>
  <c r="U61" i="1"/>
  <c r="V61" i="1"/>
  <c r="AS15" i="4"/>
  <c r="C62" i="1"/>
  <c r="B61" i="1"/>
  <c r="B55" i="3"/>
  <c r="AS12" i="3"/>
  <c r="AT13" i="3"/>
  <c r="C56" i="3"/>
  <c r="AT16" i="4"/>
  <c r="D56" i="3" l="1"/>
  <c r="E56" i="3"/>
  <c r="F56" i="3"/>
  <c r="G56" i="3"/>
  <c r="H56" i="3"/>
  <c r="I56" i="3"/>
  <c r="J56" i="3"/>
  <c r="K56" i="3"/>
  <c r="L56" i="3"/>
  <c r="M56" i="3"/>
  <c r="N56" i="3"/>
  <c r="O56" i="3"/>
  <c r="P56" i="3"/>
  <c r="Q56" i="3"/>
  <c r="R56" i="3"/>
  <c r="S56" i="3"/>
  <c r="T56" i="3"/>
  <c r="U56" i="3"/>
  <c r="V56" i="3"/>
  <c r="W56" i="3"/>
  <c r="X56" i="3"/>
  <c r="Y56" i="3"/>
  <c r="Z56" i="3"/>
  <c r="AA56" i="3"/>
  <c r="AB56" i="3"/>
  <c r="AC56" i="3"/>
  <c r="AD56" i="3"/>
  <c r="AE56" i="3"/>
  <c r="AF56" i="3"/>
  <c r="AG56" i="3"/>
  <c r="AH56" i="3"/>
  <c r="AI56" i="3"/>
  <c r="AJ56" i="3"/>
  <c r="AK56" i="3"/>
  <c r="AL56" i="3"/>
  <c r="AM56" i="3"/>
  <c r="AN56" i="3"/>
  <c r="AO56" i="3"/>
  <c r="AP56" i="3"/>
  <c r="AQ56" i="3"/>
  <c r="AR56" i="3"/>
  <c r="AT20" i="3"/>
  <c r="AT19" i="3"/>
  <c r="AT16" i="3"/>
  <c r="AT17" i="3"/>
  <c r="AT18" i="3"/>
  <c r="AT21" i="3"/>
  <c r="AT15" i="3"/>
  <c r="AT22" i="3"/>
  <c r="AT25" i="3"/>
  <c r="AT27" i="3"/>
  <c r="AT24" i="3"/>
  <c r="AT26" i="3"/>
  <c r="AT28" i="3"/>
  <c r="AT32" i="3"/>
  <c r="AT41" i="3"/>
  <c r="AT30" i="3"/>
  <c r="AT29" i="3"/>
  <c r="AT31" i="3"/>
  <c r="AT40" i="3"/>
  <c r="AT44" i="3"/>
  <c r="AT46" i="3"/>
  <c r="AT35" i="3"/>
  <c r="AT39" i="3"/>
  <c r="AT23" i="3"/>
  <c r="AT42" i="3"/>
  <c r="AT38" i="3"/>
  <c r="AT43" i="3"/>
  <c r="AT45" i="3"/>
  <c r="AT34" i="3"/>
  <c r="AT36" i="3"/>
  <c r="AT37" i="3"/>
  <c r="AT54" i="3"/>
  <c r="AT33" i="3"/>
  <c r="AT47" i="3"/>
  <c r="AT49" i="3"/>
  <c r="AT52" i="3"/>
  <c r="AT51" i="3"/>
  <c r="AT48" i="3"/>
  <c r="AT50" i="3"/>
  <c r="AT56" i="3"/>
  <c r="AT53" i="3"/>
  <c r="AT55" i="3"/>
  <c r="AT14" i="3"/>
  <c r="AT24" i="4"/>
  <c r="AT17" i="4"/>
  <c r="AT27" i="4"/>
  <c r="AT18" i="4"/>
  <c r="AT26" i="4"/>
  <c r="AT19" i="4"/>
  <c r="AT21" i="4"/>
  <c r="AT28" i="4"/>
  <c r="AT20" i="4"/>
  <c r="AT25" i="4"/>
  <c r="AT23" i="4"/>
  <c r="AT22" i="4"/>
  <c r="AS56" i="3"/>
  <c r="E62" i="1"/>
  <c r="F62" i="1"/>
  <c r="D62" i="1"/>
  <c r="G62" i="1"/>
  <c r="H62" i="1"/>
  <c r="I62" i="1"/>
  <c r="J62" i="1"/>
  <c r="K62" i="1"/>
  <c r="L62" i="1"/>
  <c r="M62" i="1"/>
  <c r="N62" i="1"/>
  <c r="O62" i="1"/>
  <c r="P62" i="1"/>
  <c r="Q62" i="1"/>
  <c r="R62" i="1"/>
  <c r="S62" i="1"/>
  <c r="T62" i="1"/>
  <c r="U62" i="1"/>
  <c r="V62" i="1"/>
  <c r="AT15" i="4"/>
  <c r="C63" i="1"/>
  <c r="B62" i="1"/>
  <c r="B56" i="3"/>
  <c r="AT12" i="3"/>
  <c r="AU13" i="3"/>
  <c r="C57" i="3"/>
  <c r="AT57" i="3" s="1"/>
  <c r="AU16" i="4"/>
  <c r="AU24" i="4" l="1"/>
  <c r="AU25" i="4"/>
  <c r="AU20" i="4"/>
  <c r="AU21" i="4"/>
  <c r="AU27" i="4"/>
  <c r="AU19" i="4"/>
  <c r="AU26" i="4"/>
  <c r="AU23" i="4"/>
  <c r="AU18" i="4"/>
  <c r="AU28" i="4"/>
  <c r="AU17" i="4"/>
  <c r="AU22" i="4"/>
  <c r="D57" i="3"/>
  <c r="E57" i="3"/>
  <c r="F57" i="3"/>
  <c r="G57" i="3"/>
  <c r="H57" i="3"/>
  <c r="I57" i="3"/>
  <c r="J57" i="3"/>
  <c r="K57" i="3"/>
  <c r="L57" i="3"/>
  <c r="M57" i="3"/>
  <c r="N57" i="3"/>
  <c r="O57" i="3"/>
  <c r="P57" i="3"/>
  <c r="Q57" i="3"/>
  <c r="R57" i="3"/>
  <c r="S57" i="3"/>
  <c r="T57" i="3"/>
  <c r="U57" i="3"/>
  <c r="V57" i="3"/>
  <c r="W57" i="3"/>
  <c r="X57" i="3"/>
  <c r="Y57" i="3"/>
  <c r="Z57" i="3"/>
  <c r="AA57" i="3"/>
  <c r="AB57" i="3"/>
  <c r="AC57" i="3"/>
  <c r="AD57" i="3"/>
  <c r="AE57" i="3"/>
  <c r="AF57" i="3"/>
  <c r="AG57" i="3"/>
  <c r="AH57" i="3"/>
  <c r="AI57" i="3"/>
  <c r="AJ57" i="3"/>
  <c r="AK57" i="3"/>
  <c r="AL57" i="3"/>
  <c r="AM57" i="3"/>
  <c r="AN57" i="3"/>
  <c r="AO57" i="3"/>
  <c r="AP57" i="3"/>
  <c r="AQ57" i="3"/>
  <c r="AR57" i="3"/>
  <c r="AS57" i="3"/>
  <c r="AU17" i="3"/>
  <c r="AU15" i="3"/>
  <c r="AU18" i="3"/>
  <c r="AU19" i="3"/>
  <c r="AU16" i="3"/>
  <c r="AU23" i="3"/>
  <c r="AU22" i="3"/>
  <c r="AU24" i="3"/>
  <c r="AU21" i="3"/>
  <c r="AU28" i="3"/>
  <c r="AU30" i="3"/>
  <c r="AU32" i="3"/>
  <c r="AU27" i="3"/>
  <c r="AU29" i="3"/>
  <c r="AU31" i="3"/>
  <c r="AU26" i="3"/>
  <c r="AU20" i="3"/>
  <c r="AU33" i="3"/>
  <c r="AU36" i="3"/>
  <c r="AU38" i="3"/>
  <c r="AU35" i="3"/>
  <c r="AU34" i="3"/>
  <c r="AU37" i="3"/>
  <c r="AU39" i="3"/>
  <c r="AU25" i="3"/>
  <c r="AU45" i="3"/>
  <c r="AU40" i="3"/>
  <c r="AU41" i="3"/>
  <c r="AU57" i="3"/>
  <c r="AU48" i="3"/>
  <c r="AU50" i="3"/>
  <c r="AU52" i="3"/>
  <c r="AU43" i="3"/>
  <c r="AU44" i="3"/>
  <c r="AU42" i="3"/>
  <c r="AU46" i="3"/>
  <c r="AU47" i="3"/>
  <c r="AU49" i="3"/>
  <c r="AU51" i="3"/>
  <c r="AU54" i="3"/>
  <c r="AU53" i="3"/>
  <c r="AU56" i="3"/>
  <c r="AU14" i="3"/>
  <c r="AU55" i="3"/>
  <c r="F63" i="1"/>
  <c r="E63" i="1"/>
  <c r="D63" i="1"/>
  <c r="G63" i="1"/>
  <c r="H63" i="1"/>
  <c r="I63" i="1"/>
  <c r="J63" i="1"/>
  <c r="K63" i="1"/>
  <c r="L63" i="1"/>
  <c r="M63" i="1"/>
  <c r="N63" i="1"/>
  <c r="O63" i="1"/>
  <c r="P63" i="1"/>
  <c r="Q63" i="1"/>
  <c r="R63" i="1"/>
  <c r="S63" i="1"/>
  <c r="T63" i="1"/>
  <c r="U63" i="1"/>
  <c r="V63" i="1"/>
  <c r="AU15" i="4"/>
  <c r="C64" i="1"/>
  <c r="B63" i="1"/>
  <c r="B57" i="3"/>
  <c r="AU12" i="3"/>
  <c r="AV13" i="3"/>
  <c r="C58" i="3"/>
  <c r="AV16" i="4"/>
  <c r="AV17" i="4" l="1"/>
  <c r="AV23" i="4"/>
  <c r="AV22" i="4"/>
  <c r="AV19" i="4"/>
  <c r="AV21" i="4"/>
  <c r="AV18" i="4"/>
  <c r="AV27" i="4"/>
  <c r="AV28" i="4"/>
  <c r="AV26" i="4"/>
  <c r="AV20" i="4"/>
  <c r="AV25" i="4"/>
  <c r="AV24" i="4"/>
  <c r="D58" i="3"/>
  <c r="E58" i="3"/>
  <c r="F58" i="3"/>
  <c r="G58" i="3"/>
  <c r="H58" i="3"/>
  <c r="I58" i="3"/>
  <c r="J58" i="3"/>
  <c r="K58" i="3"/>
  <c r="L58" i="3"/>
  <c r="M58" i="3"/>
  <c r="N58" i="3"/>
  <c r="O58" i="3"/>
  <c r="P58" i="3"/>
  <c r="Q58" i="3"/>
  <c r="R58" i="3"/>
  <c r="S58" i="3"/>
  <c r="T58" i="3"/>
  <c r="U58" i="3"/>
  <c r="V58" i="3"/>
  <c r="W58" i="3"/>
  <c r="X58" i="3"/>
  <c r="Y58" i="3"/>
  <c r="Z58" i="3"/>
  <c r="AA58" i="3"/>
  <c r="AB58" i="3"/>
  <c r="AC58" i="3"/>
  <c r="AD58" i="3"/>
  <c r="AE58" i="3"/>
  <c r="AF58" i="3"/>
  <c r="AG58" i="3"/>
  <c r="AH58" i="3"/>
  <c r="AI58" i="3"/>
  <c r="AJ58" i="3"/>
  <c r="AK58" i="3"/>
  <c r="AL58" i="3"/>
  <c r="AM58" i="3"/>
  <c r="AN58" i="3"/>
  <c r="AO58" i="3"/>
  <c r="AP58" i="3"/>
  <c r="AQ58" i="3"/>
  <c r="AR58" i="3"/>
  <c r="AS58" i="3"/>
  <c r="AT58" i="3"/>
  <c r="AV16" i="3"/>
  <c r="AV18" i="3"/>
  <c r="AV15" i="3"/>
  <c r="AV19" i="3"/>
  <c r="AV17" i="3"/>
  <c r="AV21" i="3"/>
  <c r="AV20" i="3"/>
  <c r="AV23" i="3"/>
  <c r="AV22" i="3"/>
  <c r="AV25" i="3"/>
  <c r="AV27" i="3"/>
  <c r="AV28" i="3"/>
  <c r="AV24" i="3"/>
  <c r="AV26" i="3"/>
  <c r="AV32" i="3"/>
  <c r="AV33" i="3"/>
  <c r="AV30" i="3"/>
  <c r="AV29" i="3"/>
  <c r="AV34" i="3"/>
  <c r="AV40" i="3"/>
  <c r="AV42" i="3"/>
  <c r="AV38" i="3"/>
  <c r="AV31" i="3"/>
  <c r="AV36" i="3"/>
  <c r="AV37" i="3"/>
  <c r="AV41" i="3"/>
  <c r="AV43" i="3"/>
  <c r="AV35" i="3"/>
  <c r="AV39" i="3"/>
  <c r="AV53" i="3"/>
  <c r="AV45" i="3"/>
  <c r="AV55" i="3"/>
  <c r="AV57" i="3"/>
  <c r="AV52" i="3"/>
  <c r="AV44" i="3"/>
  <c r="AV54" i="3"/>
  <c r="AV49" i="3"/>
  <c r="AV48" i="3"/>
  <c r="AV51" i="3"/>
  <c r="AV56" i="3"/>
  <c r="AV58" i="3"/>
  <c r="AV50" i="3"/>
  <c r="AV46" i="3"/>
  <c r="AV47" i="3"/>
  <c r="AV14" i="3"/>
  <c r="AU58" i="3"/>
  <c r="D64" i="1"/>
  <c r="F64" i="1"/>
  <c r="E64" i="1"/>
  <c r="G64" i="1"/>
  <c r="H64" i="1"/>
  <c r="I64" i="1"/>
  <c r="J64" i="1"/>
  <c r="K64" i="1"/>
  <c r="L64" i="1"/>
  <c r="M64" i="1"/>
  <c r="N64" i="1"/>
  <c r="O64" i="1"/>
  <c r="P64" i="1"/>
  <c r="Q64" i="1"/>
  <c r="R64" i="1"/>
  <c r="S64" i="1"/>
  <c r="T64" i="1"/>
  <c r="U64" i="1"/>
  <c r="V64" i="1"/>
  <c r="AV15" i="4"/>
  <c r="C65" i="1"/>
  <c r="B64" i="1"/>
  <c r="B58" i="3"/>
  <c r="AV12" i="3"/>
  <c r="AW13" i="3"/>
  <c r="C59" i="3"/>
  <c r="AW16" i="4"/>
  <c r="D59" i="3" l="1"/>
  <c r="E59" i="3"/>
  <c r="F59" i="3"/>
  <c r="G59" i="3"/>
  <c r="H59" i="3"/>
  <c r="I59" i="3"/>
  <c r="J59" i="3"/>
  <c r="K59" i="3"/>
  <c r="L59" i="3"/>
  <c r="M59" i="3"/>
  <c r="N59" i="3"/>
  <c r="O59" i="3"/>
  <c r="P59" i="3"/>
  <c r="Q59" i="3"/>
  <c r="R59" i="3"/>
  <c r="S59" i="3"/>
  <c r="T59" i="3"/>
  <c r="U59" i="3"/>
  <c r="V59" i="3"/>
  <c r="W59" i="3"/>
  <c r="X59" i="3"/>
  <c r="Y59" i="3"/>
  <c r="Z59" i="3"/>
  <c r="AA59" i="3"/>
  <c r="AB59" i="3"/>
  <c r="AC59" i="3"/>
  <c r="AD59" i="3"/>
  <c r="AE59" i="3"/>
  <c r="AF59" i="3"/>
  <c r="AG59" i="3"/>
  <c r="AH59" i="3"/>
  <c r="AI59" i="3"/>
  <c r="AJ59" i="3"/>
  <c r="AK59" i="3"/>
  <c r="AL59" i="3"/>
  <c r="AM59" i="3"/>
  <c r="AN59" i="3"/>
  <c r="AO59" i="3"/>
  <c r="AP59" i="3"/>
  <c r="AQ59" i="3"/>
  <c r="AR59" i="3"/>
  <c r="AS59" i="3"/>
  <c r="AT59" i="3"/>
  <c r="AU59" i="3"/>
  <c r="AW15" i="3"/>
  <c r="AW16" i="3"/>
  <c r="AW20" i="3"/>
  <c r="AW18" i="3"/>
  <c r="AW14" i="3"/>
  <c r="AW21" i="3"/>
  <c r="AW17" i="3"/>
  <c r="AW19" i="3"/>
  <c r="AW23" i="3"/>
  <c r="AW22" i="3"/>
  <c r="AW29" i="3"/>
  <c r="AW24" i="3"/>
  <c r="AW25" i="3"/>
  <c r="AW31" i="3"/>
  <c r="AW27" i="3"/>
  <c r="AW28" i="3"/>
  <c r="AW30" i="3"/>
  <c r="AW34" i="3"/>
  <c r="AW36" i="3"/>
  <c r="AW26" i="3"/>
  <c r="AW32" i="3"/>
  <c r="AW33" i="3"/>
  <c r="AW35" i="3"/>
  <c r="AW40" i="3"/>
  <c r="AW38" i="3"/>
  <c r="AW44" i="3"/>
  <c r="AW37" i="3"/>
  <c r="AW43" i="3"/>
  <c r="AW48" i="3"/>
  <c r="AW50" i="3"/>
  <c r="AW52" i="3"/>
  <c r="AW54" i="3"/>
  <c r="AW42" i="3"/>
  <c r="AW45" i="3"/>
  <c r="AW46" i="3"/>
  <c r="AW41" i="3"/>
  <c r="AW47" i="3"/>
  <c r="AW49" i="3"/>
  <c r="AW51" i="3"/>
  <c r="AW53" i="3"/>
  <c r="AW55" i="3"/>
  <c r="AW57" i="3"/>
  <c r="AW59" i="3"/>
  <c r="AW56" i="3"/>
  <c r="AW58" i="3"/>
  <c r="AW39" i="3"/>
  <c r="AW24" i="4"/>
  <c r="AW27" i="4"/>
  <c r="AW20" i="4"/>
  <c r="AW19" i="4"/>
  <c r="AW22" i="4"/>
  <c r="AW17" i="4"/>
  <c r="AW21" i="4"/>
  <c r="AW18" i="4"/>
  <c r="AW28" i="4"/>
  <c r="AW25" i="4"/>
  <c r="AW23" i="4"/>
  <c r="AW26" i="4"/>
  <c r="AV59" i="3"/>
  <c r="D65" i="1"/>
  <c r="F65" i="1"/>
  <c r="E65" i="1"/>
  <c r="G65" i="1"/>
  <c r="H65" i="1"/>
  <c r="I65" i="1"/>
  <c r="J65" i="1"/>
  <c r="K65" i="1"/>
  <c r="L65" i="1"/>
  <c r="M65" i="1"/>
  <c r="N65" i="1"/>
  <c r="O65" i="1"/>
  <c r="P65" i="1"/>
  <c r="Q65" i="1"/>
  <c r="R65" i="1"/>
  <c r="S65" i="1"/>
  <c r="T65" i="1"/>
  <c r="U65" i="1"/>
  <c r="V65" i="1"/>
  <c r="AW15" i="4"/>
  <c r="C66" i="1"/>
  <c r="B65" i="1"/>
  <c r="B59" i="3"/>
  <c r="AW12" i="3"/>
  <c r="AX13" i="3"/>
  <c r="C60" i="3"/>
  <c r="AX16" i="4"/>
  <c r="AX19" i="4" l="1"/>
  <c r="AX20" i="4"/>
  <c r="AX21" i="4"/>
  <c r="AX24" i="4"/>
  <c r="AX23" i="4"/>
  <c r="AX25" i="4"/>
  <c r="AX22" i="4"/>
  <c r="AX18" i="4"/>
  <c r="AX27" i="4"/>
  <c r="AX28" i="4"/>
  <c r="AX26" i="4"/>
  <c r="AX17" i="4"/>
  <c r="D60" i="3"/>
  <c r="E60" i="3"/>
  <c r="F60" i="3"/>
  <c r="G60" i="3"/>
  <c r="H60" i="3"/>
  <c r="I60" i="3"/>
  <c r="J60" i="3"/>
  <c r="K60" i="3"/>
  <c r="L60" i="3"/>
  <c r="M60" i="3"/>
  <c r="N60" i="3"/>
  <c r="O60" i="3"/>
  <c r="P60" i="3"/>
  <c r="Q60" i="3"/>
  <c r="R60" i="3"/>
  <c r="S60" i="3"/>
  <c r="T60" i="3"/>
  <c r="U60" i="3"/>
  <c r="V60" i="3"/>
  <c r="W60" i="3"/>
  <c r="X60" i="3"/>
  <c r="Y60" i="3"/>
  <c r="Z60" i="3"/>
  <c r="AA60" i="3"/>
  <c r="AB60" i="3"/>
  <c r="AC60" i="3"/>
  <c r="AD60" i="3"/>
  <c r="AE60" i="3"/>
  <c r="AF60" i="3"/>
  <c r="AG60" i="3"/>
  <c r="AH60" i="3"/>
  <c r="AI60" i="3"/>
  <c r="AJ60" i="3"/>
  <c r="AK60" i="3"/>
  <c r="AL60" i="3"/>
  <c r="AM60" i="3"/>
  <c r="AN60" i="3"/>
  <c r="AO60" i="3"/>
  <c r="AP60" i="3"/>
  <c r="AQ60" i="3"/>
  <c r="AR60" i="3"/>
  <c r="AS60" i="3"/>
  <c r="AT60" i="3"/>
  <c r="AU60" i="3"/>
  <c r="AV60" i="3"/>
  <c r="AX15" i="3"/>
  <c r="AX16" i="3"/>
  <c r="AX18" i="3"/>
  <c r="AX19" i="3"/>
  <c r="AX21" i="3"/>
  <c r="AX17" i="3"/>
  <c r="AX20" i="3"/>
  <c r="AX22" i="3"/>
  <c r="AX24" i="3"/>
  <c r="AX26" i="3"/>
  <c r="AX25" i="3"/>
  <c r="AX27" i="3"/>
  <c r="AX23" i="3"/>
  <c r="AX28" i="3"/>
  <c r="AX33" i="3"/>
  <c r="AX31" i="3"/>
  <c r="AX30" i="3"/>
  <c r="AX32" i="3"/>
  <c r="AX37" i="3"/>
  <c r="AX40" i="3"/>
  <c r="AX44" i="3"/>
  <c r="AX46" i="3"/>
  <c r="AX34" i="3"/>
  <c r="AX38" i="3"/>
  <c r="AX29" i="3"/>
  <c r="AX39" i="3"/>
  <c r="AX42" i="3"/>
  <c r="AX41" i="3"/>
  <c r="AX43" i="3"/>
  <c r="AX45" i="3"/>
  <c r="AX48" i="3"/>
  <c r="AX47" i="3"/>
  <c r="AX49" i="3"/>
  <c r="AX36" i="3"/>
  <c r="AX50" i="3"/>
  <c r="AX53" i="3"/>
  <c r="AX52" i="3"/>
  <c r="AX55" i="3"/>
  <c r="AX51" i="3"/>
  <c r="AX54" i="3"/>
  <c r="AX14" i="3"/>
  <c r="AX60" i="3"/>
  <c r="AX58" i="3"/>
  <c r="AX35" i="3"/>
  <c r="AX59" i="3"/>
  <c r="AX56" i="3"/>
  <c r="AX57" i="3"/>
  <c r="AW60" i="3"/>
  <c r="AX15" i="4"/>
  <c r="D66" i="1"/>
  <c r="E66" i="1"/>
  <c r="F66" i="1"/>
  <c r="G66" i="1"/>
  <c r="H66" i="1"/>
  <c r="I66" i="1"/>
  <c r="J66" i="1"/>
  <c r="K66" i="1"/>
  <c r="L66" i="1"/>
  <c r="M66" i="1"/>
  <c r="N66" i="1"/>
  <c r="O66" i="1"/>
  <c r="P66" i="1"/>
  <c r="Q66" i="1"/>
  <c r="R66" i="1"/>
  <c r="S66" i="1"/>
  <c r="T66" i="1"/>
  <c r="U66" i="1"/>
  <c r="V66" i="1"/>
  <c r="C67" i="1"/>
  <c r="B66" i="1"/>
  <c r="B60" i="3"/>
  <c r="AX12" i="3"/>
  <c r="AY13" i="3"/>
  <c r="C61" i="3"/>
  <c r="AX61" i="3" s="1"/>
  <c r="AY16" i="4"/>
  <c r="AY21" i="4" l="1"/>
  <c r="AY25" i="4"/>
  <c r="AY24" i="4"/>
  <c r="AY26" i="4"/>
  <c r="AY18" i="4"/>
  <c r="AY20" i="4"/>
  <c r="AY22" i="4"/>
  <c r="AY27" i="4"/>
  <c r="AY17" i="4"/>
  <c r="AY23" i="4"/>
  <c r="AY28" i="4"/>
  <c r="AY19" i="4"/>
  <c r="D61" i="3"/>
  <c r="E61" i="3"/>
  <c r="F61" i="3"/>
  <c r="G61" i="3"/>
  <c r="H61" i="3"/>
  <c r="I61" i="3"/>
  <c r="J61" i="3"/>
  <c r="K61" i="3"/>
  <c r="L61" i="3"/>
  <c r="M61" i="3"/>
  <c r="N61" i="3"/>
  <c r="O61" i="3"/>
  <c r="P61" i="3"/>
  <c r="Q61" i="3"/>
  <c r="R61" i="3"/>
  <c r="S61" i="3"/>
  <c r="T61" i="3"/>
  <c r="U61" i="3"/>
  <c r="V61" i="3"/>
  <c r="W61" i="3"/>
  <c r="X61" i="3"/>
  <c r="Y61" i="3"/>
  <c r="Z61" i="3"/>
  <c r="AA61" i="3"/>
  <c r="AB61" i="3"/>
  <c r="AC61" i="3"/>
  <c r="AD61" i="3"/>
  <c r="AE61" i="3"/>
  <c r="AF61" i="3"/>
  <c r="AG61" i="3"/>
  <c r="AH61" i="3"/>
  <c r="AI61" i="3"/>
  <c r="AJ61" i="3"/>
  <c r="AK61" i="3"/>
  <c r="AL61" i="3"/>
  <c r="AM61" i="3"/>
  <c r="AN61" i="3"/>
  <c r="AO61" i="3"/>
  <c r="AP61" i="3"/>
  <c r="AQ61" i="3"/>
  <c r="AR61" i="3"/>
  <c r="AS61" i="3"/>
  <c r="AT61" i="3"/>
  <c r="AU61" i="3"/>
  <c r="AV61" i="3"/>
  <c r="AW61" i="3"/>
  <c r="AY16" i="3"/>
  <c r="AY18" i="3"/>
  <c r="AY17" i="3"/>
  <c r="AY15" i="3"/>
  <c r="AY20" i="3"/>
  <c r="AY21" i="3"/>
  <c r="AY24" i="3"/>
  <c r="AY22" i="3"/>
  <c r="AY19" i="3"/>
  <c r="AY33" i="3"/>
  <c r="AY35" i="3"/>
  <c r="AY28" i="3"/>
  <c r="AY30" i="3"/>
  <c r="AY32" i="3"/>
  <c r="AY26" i="3"/>
  <c r="AY27" i="3"/>
  <c r="AY23" i="3"/>
  <c r="AY29" i="3"/>
  <c r="AY31" i="3"/>
  <c r="AY25" i="3"/>
  <c r="AY34" i="3"/>
  <c r="AY37" i="3"/>
  <c r="AY39" i="3"/>
  <c r="AY36" i="3"/>
  <c r="AY38" i="3"/>
  <c r="AY40" i="3"/>
  <c r="AY47" i="3"/>
  <c r="AY49" i="3"/>
  <c r="AY51" i="3"/>
  <c r="AY43" i="3"/>
  <c r="AY44" i="3"/>
  <c r="AY54" i="3"/>
  <c r="AY57" i="3"/>
  <c r="AY59" i="3"/>
  <c r="AY61" i="3"/>
  <c r="AY46" i="3"/>
  <c r="AY48" i="3"/>
  <c r="AY50" i="3"/>
  <c r="AY52" i="3"/>
  <c r="AY56" i="3"/>
  <c r="AY58" i="3"/>
  <c r="AY60" i="3"/>
  <c r="AY42" i="3"/>
  <c r="AY55" i="3"/>
  <c r="AY41" i="3"/>
  <c r="AY45" i="3"/>
  <c r="AY53" i="3"/>
  <c r="AY14" i="3"/>
  <c r="F67" i="1"/>
  <c r="D67" i="1"/>
  <c r="E67" i="1"/>
  <c r="G67" i="1"/>
  <c r="H67" i="1"/>
  <c r="I67" i="1"/>
  <c r="J67" i="1"/>
  <c r="K67" i="1"/>
  <c r="L67" i="1"/>
  <c r="M67" i="1"/>
  <c r="N67" i="1"/>
  <c r="O67" i="1"/>
  <c r="P67" i="1"/>
  <c r="Q67" i="1"/>
  <c r="R67" i="1"/>
  <c r="S67" i="1"/>
  <c r="T67" i="1"/>
  <c r="U67" i="1"/>
  <c r="V67" i="1"/>
  <c r="AY15" i="4"/>
  <c r="C68" i="1"/>
  <c r="B67" i="1"/>
  <c r="B61" i="3"/>
  <c r="AY12" i="3"/>
  <c r="AZ13" i="3"/>
  <c r="C62" i="3"/>
  <c r="AZ16" i="4"/>
  <c r="AZ20" i="4" l="1"/>
  <c r="AZ23" i="4"/>
  <c r="AZ22" i="4"/>
  <c r="AZ17" i="4"/>
  <c r="AZ18" i="4"/>
  <c r="AZ26" i="4"/>
  <c r="AZ19" i="4"/>
  <c r="AZ24" i="4"/>
  <c r="AZ21" i="4"/>
  <c r="AZ27" i="4"/>
  <c r="AZ28" i="4"/>
  <c r="AZ25" i="4"/>
  <c r="D62" i="3"/>
  <c r="E62" i="3"/>
  <c r="F62" i="3"/>
  <c r="G62" i="3"/>
  <c r="H62" i="3"/>
  <c r="I62" i="3"/>
  <c r="J62" i="3"/>
  <c r="K62" i="3"/>
  <c r="L62" i="3"/>
  <c r="M62" i="3"/>
  <c r="N62" i="3"/>
  <c r="O62" i="3"/>
  <c r="P62" i="3"/>
  <c r="Q62" i="3"/>
  <c r="R62" i="3"/>
  <c r="S62" i="3"/>
  <c r="T62" i="3"/>
  <c r="U62" i="3"/>
  <c r="V62" i="3"/>
  <c r="W62" i="3"/>
  <c r="X62" i="3"/>
  <c r="Y62" i="3"/>
  <c r="Z62" i="3"/>
  <c r="AA62" i="3"/>
  <c r="AB62" i="3"/>
  <c r="AC62" i="3"/>
  <c r="AD62" i="3"/>
  <c r="AE62" i="3"/>
  <c r="AF62" i="3"/>
  <c r="AG62" i="3"/>
  <c r="AH62" i="3"/>
  <c r="AI62" i="3"/>
  <c r="AJ62" i="3"/>
  <c r="AK62" i="3"/>
  <c r="AL62" i="3"/>
  <c r="AM62" i="3"/>
  <c r="AN62" i="3"/>
  <c r="AO62" i="3"/>
  <c r="AP62" i="3"/>
  <c r="AQ62" i="3"/>
  <c r="AR62" i="3"/>
  <c r="AS62" i="3"/>
  <c r="AT62" i="3"/>
  <c r="AU62" i="3"/>
  <c r="AV62" i="3"/>
  <c r="AW62" i="3"/>
  <c r="AX62" i="3"/>
  <c r="AY62" i="3"/>
  <c r="AZ15" i="3"/>
  <c r="AZ17" i="3"/>
  <c r="AZ16" i="3"/>
  <c r="AZ20" i="3"/>
  <c r="AZ22" i="3"/>
  <c r="AZ21" i="3"/>
  <c r="AZ23" i="3"/>
  <c r="AZ18" i="3"/>
  <c r="AZ19" i="3"/>
  <c r="AZ24" i="3"/>
  <c r="AZ25" i="3"/>
  <c r="AZ26" i="3"/>
  <c r="AZ32" i="3"/>
  <c r="AZ30" i="3"/>
  <c r="AZ28" i="3"/>
  <c r="AZ29" i="3"/>
  <c r="AZ31" i="3"/>
  <c r="AZ27" i="3"/>
  <c r="AZ33" i="3"/>
  <c r="AZ35" i="3"/>
  <c r="AZ34" i="3"/>
  <c r="AZ37" i="3"/>
  <c r="AZ39" i="3"/>
  <c r="AZ40" i="3"/>
  <c r="AZ42" i="3"/>
  <c r="AZ36" i="3"/>
  <c r="AZ41" i="3"/>
  <c r="AZ43" i="3"/>
  <c r="AZ38" i="3"/>
  <c r="AZ46" i="3"/>
  <c r="AZ45" i="3"/>
  <c r="AZ49" i="3"/>
  <c r="AZ44" i="3"/>
  <c r="AZ47" i="3"/>
  <c r="AZ52" i="3"/>
  <c r="AZ54" i="3"/>
  <c r="AZ57" i="3"/>
  <c r="AZ59" i="3"/>
  <c r="AZ61" i="3"/>
  <c r="AZ56" i="3"/>
  <c r="AZ58" i="3"/>
  <c r="AZ60" i="3"/>
  <c r="AZ48" i="3"/>
  <c r="AZ62" i="3"/>
  <c r="AZ14" i="3"/>
  <c r="AZ51" i="3"/>
  <c r="AZ53" i="3"/>
  <c r="AZ55" i="3"/>
  <c r="AZ50" i="3"/>
  <c r="AZ15" i="4"/>
  <c r="F68" i="1"/>
  <c r="D68" i="1"/>
  <c r="E68" i="1"/>
  <c r="G68" i="1"/>
  <c r="H68" i="1"/>
  <c r="I68" i="1"/>
  <c r="J68" i="1"/>
  <c r="K68" i="1"/>
  <c r="L68" i="1"/>
  <c r="M68" i="1"/>
  <c r="N68" i="1"/>
  <c r="O68" i="1"/>
  <c r="P68" i="1"/>
  <c r="Q68" i="1"/>
  <c r="R68" i="1"/>
  <c r="S68" i="1"/>
  <c r="T68" i="1"/>
  <c r="U68" i="1"/>
  <c r="V68" i="1"/>
  <c r="C69" i="1"/>
  <c r="B68" i="1"/>
  <c r="B62" i="3"/>
  <c r="AZ12" i="3"/>
  <c r="BA13" i="3"/>
  <c r="C63" i="3"/>
  <c r="AZ63" i="3" s="1"/>
  <c r="BA16" i="4"/>
  <c r="BA20" i="4" l="1"/>
  <c r="BA19" i="4"/>
  <c r="BA18" i="4"/>
  <c r="BA22" i="4"/>
  <c r="BA17" i="4"/>
  <c r="BA26" i="4"/>
  <c r="BA25" i="4"/>
  <c r="BA21" i="4"/>
  <c r="BA24" i="4"/>
  <c r="BA27" i="4"/>
  <c r="BA28" i="4"/>
  <c r="BA23" i="4"/>
  <c r="BA14" i="3"/>
  <c r="BA15" i="3"/>
  <c r="BA19" i="3"/>
  <c r="BA20" i="3"/>
  <c r="BA23" i="3"/>
  <c r="BA17" i="3"/>
  <c r="BA16" i="3"/>
  <c r="BA21" i="3"/>
  <c r="BA22" i="3"/>
  <c r="BA26" i="3"/>
  <c r="BA27" i="3"/>
  <c r="BA18" i="3"/>
  <c r="BA29" i="3"/>
  <c r="BA24" i="3"/>
  <c r="BA25" i="3"/>
  <c r="BA28" i="3"/>
  <c r="BA30" i="3"/>
  <c r="BA38" i="3"/>
  <c r="BA32" i="3"/>
  <c r="BA34" i="3"/>
  <c r="BA36" i="3"/>
  <c r="BA33" i="3"/>
  <c r="BA35" i="3"/>
  <c r="BA39" i="3"/>
  <c r="BA43" i="3"/>
  <c r="BA31" i="3"/>
  <c r="BA42" i="3"/>
  <c r="BA37" i="3"/>
  <c r="BA47" i="3"/>
  <c r="BA49" i="3"/>
  <c r="BA51" i="3"/>
  <c r="BA53" i="3"/>
  <c r="BA55" i="3"/>
  <c r="BA40" i="3"/>
  <c r="BA45" i="3"/>
  <c r="BA46" i="3"/>
  <c r="BA48" i="3"/>
  <c r="BA50" i="3"/>
  <c r="BA52" i="3"/>
  <c r="BA54" i="3"/>
  <c r="BA41" i="3"/>
  <c r="BA56" i="3"/>
  <c r="BA58" i="3"/>
  <c r="BA60" i="3"/>
  <c r="BA62" i="3"/>
  <c r="BA57" i="3"/>
  <c r="BA59" i="3"/>
  <c r="BA61" i="3"/>
  <c r="BA63" i="3"/>
  <c r="BA44" i="3"/>
  <c r="D63" i="3"/>
  <c r="E63" i="3"/>
  <c r="F63" i="3"/>
  <c r="G63" i="3"/>
  <c r="H63" i="3"/>
  <c r="I63" i="3"/>
  <c r="J63" i="3"/>
  <c r="K63" i="3"/>
  <c r="L63" i="3"/>
  <c r="M63" i="3"/>
  <c r="N63" i="3"/>
  <c r="O63" i="3"/>
  <c r="P63" i="3"/>
  <c r="Q63" i="3"/>
  <c r="R63" i="3"/>
  <c r="S63" i="3"/>
  <c r="T63" i="3"/>
  <c r="U63" i="3"/>
  <c r="V63" i="3"/>
  <c r="W63" i="3"/>
  <c r="X63" i="3"/>
  <c r="Y63" i="3"/>
  <c r="Z63" i="3"/>
  <c r="AA63" i="3"/>
  <c r="AB63" i="3"/>
  <c r="AC63" i="3"/>
  <c r="AD63" i="3"/>
  <c r="AE63" i="3"/>
  <c r="AF63" i="3"/>
  <c r="AG63" i="3"/>
  <c r="AH63" i="3"/>
  <c r="AI63" i="3"/>
  <c r="AJ63" i="3"/>
  <c r="AK63" i="3"/>
  <c r="AL63" i="3"/>
  <c r="AM63" i="3"/>
  <c r="AN63" i="3"/>
  <c r="AO63" i="3"/>
  <c r="AP63" i="3"/>
  <c r="AQ63" i="3"/>
  <c r="AR63" i="3"/>
  <c r="AS63" i="3"/>
  <c r="AT63" i="3"/>
  <c r="AU63" i="3"/>
  <c r="AV63" i="3"/>
  <c r="AW63" i="3"/>
  <c r="AX63" i="3"/>
  <c r="AY63" i="3"/>
  <c r="BA15" i="4"/>
  <c r="E69" i="1"/>
  <c r="F69" i="1"/>
  <c r="D69" i="1"/>
  <c r="G69" i="1"/>
  <c r="H69" i="1"/>
  <c r="I69" i="1"/>
  <c r="J69" i="1"/>
  <c r="K69" i="1"/>
  <c r="L69" i="1"/>
  <c r="M69" i="1"/>
  <c r="N69" i="1"/>
  <c r="O69" i="1"/>
  <c r="P69" i="1"/>
  <c r="Q69" i="1"/>
  <c r="R69" i="1"/>
  <c r="S69" i="1"/>
  <c r="T69" i="1"/>
  <c r="U69" i="1"/>
  <c r="V69" i="1"/>
  <c r="C70" i="1"/>
  <c r="B69" i="1"/>
  <c r="B63" i="3"/>
  <c r="BA12" i="3"/>
  <c r="BB13" i="3"/>
  <c r="C64" i="3"/>
  <c r="BA64" i="3" s="1"/>
  <c r="BB16" i="4"/>
  <c r="BB15" i="3" l="1"/>
  <c r="BB17" i="3"/>
  <c r="BB18" i="3"/>
  <c r="BB19" i="3"/>
  <c r="BB20" i="3"/>
  <c r="BB22" i="3"/>
  <c r="BB16" i="3"/>
  <c r="BB21" i="3"/>
  <c r="BB24" i="3"/>
  <c r="BB26" i="3"/>
  <c r="BB23" i="3"/>
  <c r="BB25" i="3"/>
  <c r="BB27" i="3"/>
  <c r="BB31" i="3"/>
  <c r="BB29" i="3"/>
  <c r="BB40" i="3"/>
  <c r="BB42" i="3"/>
  <c r="BB28" i="3"/>
  <c r="BB30" i="3"/>
  <c r="BB32" i="3"/>
  <c r="BB41" i="3"/>
  <c r="BB43" i="3"/>
  <c r="BB45" i="3"/>
  <c r="BB36" i="3"/>
  <c r="BB35" i="3"/>
  <c r="BB44" i="3"/>
  <c r="BB46" i="3"/>
  <c r="BB33" i="3"/>
  <c r="BB38" i="3"/>
  <c r="BB39" i="3"/>
  <c r="BB50" i="3"/>
  <c r="BB55" i="3"/>
  <c r="BB48" i="3"/>
  <c r="BB37" i="3"/>
  <c r="BB52" i="3"/>
  <c r="BB34" i="3"/>
  <c r="BB47" i="3"/>
  <c r="BB49" i="3"/>
  <c r="BB51" i="3"/>
  <c r="BB53" i="3"/>
  <c r="BB59" i="3"/>
  <c r="BB63" i="3"/>
  <c r="BB57" i="3"/>
  <c r="BB62" i="3"/>
  <c r="BB54" i="3"/>
  <c r="BB61" i="3"/>
  <c r="BB64" i="3"/>
  <c r="BB56" i="3"/>
  <c r="BB14" i="3"/>
  <c r="BB60" i="3"/>
  <c r="BB58" i="3"/>
  <c r="BB27" i="4"/>
  <c r="BB19" i="4"/>
  <c r="BB20" i="4"/>
  <c r="BB17" i="4"/>
  <c r="BB28" i="4"/>
  <c r="BB21" i="4"/>
  <c r="BB18" i="4"/>
  <c r="BB25" i="4"/>
  <c r="BB22" i="4"/>
  <c r="BB26" i="4"/>
  <c r="BB24" i="4"/>
  <c r="BB23" i="4"/>
  <c r="D64" i="3"/>
  <c r="E64" i="3"/>
  <c r="F64" i="3"/>
  <c r="G64" i="3"/>
  <c r="H64" i="3"/>
  <c r="I64" i="3"/>
  <c r="J64" i="3"/>
  <c r="K64" i="3"/>
  <c r="L64" i="3"/>
  <c r="M64" i="3"/>
  <c r="N64" i="3"/>
  <c r="O64" i="3"/>
  <c r="P64" i="3"/>
  <c r="Q64" i="3"/>
  <c r="R64" i="3"/>
  <c r="S64" i="3"/>
  <c r="T64" i="3"/>
  <c r="U64" i="3"/>
  <c r="V64" i="3"/>
  <c r="W64" i="3"/>
  <c r="X64" i="3"/>
  <c r="Y64" i="3"/>
  <c r="Z64" i="3"/>
  <c r="AA64" i="3"/>
  <c r="AB64" i="3"/>
  <c r="AC64" i="3"/>
  <c r="AD64" i="3"/>
  <c r="AE64" i="3"/>
  <c r="AF64" i="3"/>
  <c r="AG64" i="3"/>
  <c r="AH64" i="3"/>
  <c r="AI64" i="3"/>
  <c r="AJ64" i="3"/>
  <c r="AK64" i="3"/>
  <c r="AL64" i="3"/>
  <c r="AM64" i="3"/>
  <c r="AN64" i="3"/>
  <c r="AO64" i="3"/>
  <c r="AP64" i="3"/>
  <c r="AQ64" i="3"/>
  <c r="AR64" i="3"/>
  <c r="AS64" i="3"/>
  <c r="AT64" i="3"/>
  <c r="AU64" i="3"/>
  <c r="AV64" i="3"/>
  <c r="AW64" i="3"/>
  <c r="AX64" i="3"/>
  <c r="AY64" i="3"/>
  <c r="AZ64" i="3"/>
  <c r="BB15" i="4"/>
  <c r="E70" i="1"/>
  <c r="D70" i="1"/>
  <c r="F70" i="1"/>
  <c r="G70" i="1"/>
  <c r="H70" i="1"/>
  <c r="I70" i="1"/>
  <c r="J70" i="1"/>
  <c r="K70" i="1"/>
  <c r="L70" i="1"/>
  <c r="M70" i="1"/>
  <c r="N70" i="1"/>
  <c r="O70" i="1"/>
  <c r="P70" i="1"/>
  <c r="Q70" i="1"/>
  <c r="R70" i="1"/>
  <c r="S70" i="1"/>
  <c r="T70" i="1"/>
  <c r="U70" i="1"/>
  <c r="V70" i="1"/>
  <c r="C71" i="1"/>
  <c r="B70" i="1"/>
  <c r="B64" i="3"/>
  <c r="BB12" i="3"/>
  <c r="BC13" i="3"/>
  <c r="C65" i="3"/>
  <c r="BB65" i="3" s="1"/>
  <c r="BC16" i="4"/>
  <c r="BC17" i="4" l="1"/>
  <c r="BC23" i="4"/>
  <c r="BC19" i="4"/>
  <c r="BC24" i="4"/>
  <c r="BC25" i="4"/>
  <c r="BC26" i="4"/>
  <c r="BC18" i="4"/>
  <c r="BC22" i="4"/>
  <c r="BC27" i="4"/>
  <c r="BC20" i="4"/>
  <c r="BC21" i="4"/>
  <c r="BC28" i="4"/>
  <c r="D65" i="3"/>
  <c r="E65" i="3"/>
  <c r="F65" i="3"/>
  <c r="G65" i="3"/>
  <c r="H65" i="3"/>
  <c r="I65" i="3"/>
  <c r="J65" i="3"/>
  <c r="K65" i="3"/>
  <c r="L65" i="3"/>
  <c r="M65" i="3"/>
  <c r="N65" i="3"/>
  <c r="O65" i="3"/>
  <c r="P65" i="3"/>
  <c r="Q65" i="3"/>
  <c r="R65" i="3"/>
  <c r="S65" i="3"/>
  <c r="T65" i="3"/>
  <c r="U65" i="3"/>
  <c r="V65" i="3"/>
  <c r="W65" i="3"/>
  <c r="X65" i="3"/>
  <c r="Y65" i="3"/>
  <c r="Z65" i="3"/>
  <c r="AA65" i="3"/>
  <c r="AB65" i="3"/>
  <c r="AC65" i="3"/>
  <c r="AD65" i="3"/>
  <c r="AE65" i="3"/>
  <c r="AF65" i="3"/>
  <c r="AG65" i="3"/>
  <c r="AH65" i="3"/>
  <c r="AI65" i="3"/>
  <c r="AJ65" i="3"/>
  <c r="AK65" i="3"/>
  <c r="AL65" i="3"/>
  <c r="AM65" i="3"/>
  <c r="AN65" i="3"/>
  <c r="AO65" i="3"/>
  <c r="AP65" i="3"/>
  <c r="AQ65" i="3"/>
  <c r="AR65" i="3"/>
  <c r="AS65" i="3"/>
  <c r="AT65" i="3"/>
  <c r="AU65" i="3"/>
  <c r="AV65" i="3"/>
  <c r="AW65" i="3"/>
  <c r="AX65" i="3"/>
  <c r="AY65" i="3"/>
  <c r="AZ65" i="3"/>
  <c r="BA65" i="3"/>
  <c r="BC15" i="3"/>
  <c r="BC16" i="3"/>
  <c r="BC17" i="3"/>
  <c r="BC19" i="3"/>
  <c r="BC18" i="3"/>
  <c r="BC20" i="3"/>
  <c r="BC22" i="3"/>
  <c r="BC24" i="3"/>
  <c r="BC23" i="3"/>
  <c r="BC29" i="3"/>
  <c r="BC31" i="3"/>
  <c r="BC21" i="3"/>
  <c r="BC33" i="3"/>
  <c r="BC28" i="3"/>
  <c r="BC30" i="3"/>
  <c r="BC32" i="3"/>
  <c r="BC27" i="3"/>
  <c r="BC34" i="3"/>
  <c r="BC37" i="3"/>
  <c r="BC39" i="3"/>
  <c r="BC25" i="3"/>
  <c r="BC35" i="3"/>
  <c r="BC36" i="3"/>
  <c r="BC38" i="3"/>
  <c r="BC46" i="3"/>
  <c r="BC40" i="3"/>
  <c r="BC42" i="3"/>
  <c r="BC26" i="3"/>
  <c r="BC56" i="3"/>
  <c r="BC58" i="3"/>
  <c r="BC60" i="3"/>
  <c r="BC62" i="3"/>
  <c r="BC64" i="3"/>
  <c r="BC44" i="3"/>
  <c r="BC41" i="3"/>
  <c r="BC47" i="3"/>
  <c r="BC49" i="3"/>
  <c r="BC51" i="3"/>
  <c r="BC45" i="3"/>
  <c r="BC43" i="3"/>
  <c r="BC48" i="3"/>
  <c r="BC50" i="3"/>
  <c r="BC52" i="3"/>
  <c r="BC61" i="3"/>
  <c r="BC63" i="3"/>
  <c r="BC55" i="3"/>
  <c r="BC59" i="3"/>
  <c r="BC65" i="3"/>
  <c r="BC54" i="3"/>
  <c r="BC57" i="3"/>
  <c r="BC53" i="3"/>
  <c r="BC14" i="3"/>
  <c r="D71" i="1"/>
  <c r="E71" i="1"/>
  <c r="F71" i="1"/>
  <c r="G71" i="1"/>
  <c r="H71" i="1"/>
  <c r="I71" i="1"/>
  <c r="J71" i="1"/>
  <c r="K71" i="1"/>
  <c r="L71" i="1"/>
  <c r="M71" i="1"/>
  <c r="N71" i="1"/>
  <c r="O71" i="1"/>
  <c r="P71" i="1"/>
  <c r="Q71" i="1"/>
  <c r="R71" i="1"/>
  <c r="S71" i="1"/>
  <c r="T71" i="1"/>
  <c r="U71" i="1"/>
  <c r="V71" i="1"/>
  <c r="BC15" i="4"/>
  <c r="C72" i="1"/>
  <c r="B71" i="1"/>
  <c r="B65" i="3"/>
  <c r="BC12" i="3"/>
  <c r="BD13" i="3"/>
  <c r="C66" i="3"/>
  <c r="BC66" i="3" s="1"/>
  <c r="BD16" i="4"/>
  <c r="BD24" i="4" l="1"/>
  <c r="BD26" i="4"/>
  <c r="BD23" i="4"/>
  <c r="BD22" i="4"/>
  <c r="BD28" i="4"/>
  <c r="BD17" i="4"/>
  <c r="BD20" i="4"/>
  <c r="BD18" i="4"/>
  <c r="BD19" i="4"/>
  <c r="BD21" i="4"/>
  <c r="BD27" i="4"/>
  <c r="BD25" i="4"/>
  <c r="D66" i="3"/>
  <c r="E66" i="3"/>
  <c r="F66" i="3"/>
  <c r="G66" i="3"/>
  <c r="H66" i="3"/>
  <c r="I66" i="3"/>
  <c r="J66" i="3"/>
  <c r="K66" i="3"/>
  <c r="L66" i="3"/>
  <c r="M66" i="3"/>
  <c r="N66" i="3"/>
  <c r="O66" i="3"/>
  <c r="P66" i="3"/>
  <c r="Q66" i="3"/>
  <c r="R66" i="3"/>
  <c r="S66" i="3"/>
  <c r="T66" i="3"/>
  <c r="U66" i="3"/>
  <c r="V66" i="3"/>
  <c r="W66" i="3"/>
  <c r="X66" i="3"/>
  <c r="Y66" i="3"/>
  <c r="Z66" i="3"/>
  <c r="AA66" i="3"/>
  <c r="AB66" i="3"/>
  <c r="AC66" i="3"/>
  <c r="AD66" i="3"/>
  <c r="AE66" i="3"/>
  <c r="AF66" i="3"/>
  <c r="AG66" i="3"/>
  <c r="AH66" i="3"/>
  <c r="AI66" i="3"/>
  <c r="AJ66" i="3"/>
  <c r="AK66" i="3"/>
  <c r="AL66" i="3"/>
  <c r="AM66" i="3"/>
  <c r="AN66" i="3"/>
  <c r="AO66" i="3"/>
  <c r="AP66" i="3"/>
  <c r="AQ66" i="3"/>
  <c r="AR66" i="3"/>
  <c r="AS66" i="3"/>
  <c r="AT66" i="3"/>
  <c r="AU66" i="3"/>
  <c r="AV66" i="3"/>
  <c r="AW66" i="3"/>
  <c r="AX66" i="3"/>
  <c r="AY66" i="3"/>
  <c r="AZ66" i="3"/>
  <c r="BA66" i="3"/>
  <c r="BB66" i="3"/>
  <c r="BD15" i="3"/>
  <c r="BD17" i="3"/>
  <c r="BD19" i="3"/>
  <c r="BD16" i="3"/>
  <c r="BD18" i="3"/>
  <c r="BD22" i="3"/>
  <c r="BD21" i="3"/>
  <c r="BD20" i="3"/>
  <c r="BD23" i="3"/>
  <c r="BD24" i="3"/>
  <c r="BD28" i="3"/>
  <c r="BD25" i="3"/>
  <c r="BD26" i="3"/>
  <c r="BD27" i="3"/>
  <c r="BD34" i="3"/>
  <c r="BD30" i="3"/>
  <c r="BD33" i="3"/>
  <c r="BD29" i="3"/>
  <c r="BD31" i="3"/>
  <c r="BD32" i="3"/>
  <c r="BD35" i="3"/>
  <c r="BD41" i="3"/>
  <c r="BD43" i="3"/>
  <c r="BD37" i="3"/>
  <c r="BD38" i="3"/>
  <c r="BD40" i="3"/>
  <c r="BD42" i="3"/>
  <c r="BD39" i="3"/>
  <c r="BD36" i="3"/>
  <c r="BD44" i="3"/>
  <c r="BD54" i="3"/>
  <c r="BD46" i="3"/>
  <c r="BD50" i="3"/>
  <c r="BD56" i="3"/>
  <c r="BD58" i="3"/>
  <c r="BD60" i="3"/>
  <c r="BD53" i="3"/>
  <c r="BD55" i="3"/>
  <c r="BD49" i="3"/>
  <c r="BD52" i="3"/>
  <c r="BD57" i="3"/>
  <c r="BD59" i="3"/>
  <c r="BD61" i="3"/>
  <c r="BD47" i="3"/>
  <c r="BD51" i="3"/>
  <c r="BD45" i="3"/>
  <c r="BD65" i="3"/>
  <c r="BD48" i="3"/>
  <c r="BD64" i="3"/>
  <c r="BD63" i="3"/>
  <c r="BD62" i="3"/>
  <c r="BD66" i="3"/>
  <c r="BD14" i="3"/>
  <c r="BD15" i="4"/>
  <c r="F72" i="1"/>
  <c r="D72" i="1"/>
  <c r="E72" i="1"/>
  <c r="G72" i="1"/>
  <c r="H72" i="1"/>
  <c r="I72" i="1"/>
  <c r="J72" i="1"/>
  <c r="K72" i="1"/>
  <c r="L72" i="1"/>
  <c r="M72" i="1"/>
  <c r="N72" i="1"/>
  <c r="O72" i="1"/>
  <c r="P72" i="1"/>
  <c r="Q72" i="1"/>
  <c r="R72" i="1"/>
  <c r="S72" i="1"/>
  <c r="T72" i="1"/>
  <c r="U72" i="1"/>
  <c r="V72" i="1"/>
  <c r="C73" i="1"/>
  <c r="B72" i="1"/>
  <c r="B66" i="3"/>
  <c r="BD12" i="3"/>
  <c r="BE13" i="3"/>
  <c r="C67" i="3"/>
  <c r="BE16" i="4"/>
  <c r="D67" i="3" l="1"/>
  <c r="E67" i="3"/>
  <c r="F67" i="3"/>
  <c r="G67" i="3"/>
  <c r="H67" i="3"/>
  <c r="I67" i="3"/>
  <c r="J67" i="3"/>
  <c r="K67" i="3"/>
  <c r="L67" i="3"/>
  <c r="M67" i="3"/>
  <c r="N67" i="3"/>
  <c r="O67" i="3"/>
  <c r="P67" i="3"/>
  <c r="Q67" i="3"/>
  <c r="R67" i="3"/>
  <c r="S67" i="3"/>
  <c r="T67" i="3"/>
  <c r="U67" i="3"/>
  <c r="V67" i="3"/>
  <c r="W67" i="3"/>
  <c r="X67" i="3"/>
  <c r="Y67" i="3"/>
  <c r="Z67" i="3"/>
  <c r="AA67" i="3"/>
  <c r="AB67" i="3"/>
  <c r="AC67" i="3"/>
  <c r="AD67" i="3"/>
  <c r="AE67" i="3"/>
  <c r="AF67" i="3"/>
  <c r="AG67" i="3"/>
  <c r="AH67" i="3"/>
  <c r="AI67" i="3"/>
  <c r="AJ67" i="3"/>
  <c r="AK67" i="3"/>
  <c r="AL67" i="3"/>
  <c r="AM67" i="3"/>
  <c r="AN67" i="3"/>
  <c r="AO67" i="3"/>
  <c r="AP67" i="3"/>
  <c r="AQ67" i="3"/>
  <c r="AR67" i="3"/>
  <c r="AS67" i="3"/>
  <c r="AT67" i="3"/>
  <c r="AU67" i="3"/>
  <c r="AV67" i="3"/>
  <c r="AW67" i="3"/>
  <c r="AX67" i="3"/>
  <c r="AY67" i="3"/>
  <c r="AZ67" i="3"/>
  <c r="BA67" i="3"/>
  <c r="BB67" i="3"/>
  <c r="BC67" i="3"/>
  <c r="BE16" i="3"/>
  <c r="BE15" i="3"/>
  <c r="BE17" i="3"/>
  <c r="BE21" i="3"/>
  <c r="BE19" i="3"/>
  <c r="BE20" i="3"/>
  <c r="BE18" i="3"/>
  <c r="BE28" i="3"/>
  <c r="BE30" i="3"/>
  <c r="BE23" i="3"/>
  <c r="BE26" i="3"/>
  <c r="BE32" i="3"/>
  <c r="BE25" i="3"/>
  <c r="BE29" i="3"/>
  <c r="BE24" i="3"/>
  <c r="BE33" i="3"/>
  <c r="BE35" i="3"/>
  <c r="BE31" i="3"/>
  <c r="BE34" i="3"/>
  <c r="BE36" i="3"/>
  <c r="BE27" i="3"/>
  <c r="BE22" i="3"/>
  <c r="BE37" i="3"/>
  <c r="BE39" i="3"/>
  <c r="BE44" i="3"/>
  <c r="BE47" i="3"/>
  <c r="BE49" i="3"/>
  <c r="BE51" i="3"/>
  <c r="BE53" i="3"/>
  <c r="BE55" i="3"/>
  <c r="BE43" i="3"/>
  <c r="BE46" i="3"/>
  <c r="BE45" i="3"/>
  <c r="BE38" i="3"/>
  <c r="BE40" i="3"/>
  <c r="BE42" i="3"/>
  <c r="BE48" i="3"/>
  <c r="BE50" i="3"/>
  <c r="BE52" i="3"/>
  <c r="BE54" i="3"/>
  <c r="BE41" i="3"/>
  <c r="BE56" i="3"/>
  <c r="BE58" i="3"/>
  <c r="BE60" i="3"/>
  <c r="BE62" i="3"/>
  <c r="BE64" i="3"/>
  <c r="BE66" i="3"/>
  <c r="BE57" i="3"/>
  <c r="BE59" i="3"/>
  <c r="BE61" i="3"/>
  <c r="BE63" i="3"/>
  <c r="BE65" i="3"/>
  <c r="BE14" i="3"/>
  <c r="BE67" i="3"/>
  <c r="BE22" i="4"/>
  <c r="BE18" i="4"/>
  <c r="BE24" i="4"/>
  <c r="BE25" i="4"/>
  <c r="BE27" i="4"/>
  <c r="BE20" i="4"/>
  <c r="BE23" i="4"/>
  <c r="BE19" i="4"/>
  <c r="BE21" i="4"/>
  <c r="BE28" i="4"/>
  <c r="BE17" i="4"/>
  <c r="BE26" i="4"/>
  <c r="BD67" i="3"/>
  <c r="F73" i="1"/>
  <c r="E73" i="1"/>
  <c r="D73" i="1"/>
  <c r="G73" i="1"/>
  <c r="H73" i="1"/>
  <c r="I73" i="1"/>
  <c r="J73" i="1"/>
  <c r="K73" i="1"/>
  <c r="L73" i="1"/>
  <c r="M73" i="1"/>
  <c r="N73" i="1"/>
  <c r="O73" i="1"/>
  <c r="P73" i="1"/>
  <c r="Q73" i="1"/>
  <c r="R73" i="1"/>
  <c r="S73" i="1"/>
  <c r="T73" i="1"/>
  <c r="U73" i="1"/>
  <c r="V73" i="1"/>
  <c r="BE15" i="4"/>
  <c r="C74" i="1"/>
  <c r="B73" i="1"/>
  <c r="B67" i="3"/>
  <c r="BE12" i="3"/>
  <c r="BF13" i="3"/>
  <c r="C68" i="3"/>
  <c r="BF16" i="4"/>
  <c r="BF24" i="4" l="1"/>
  <c r="BF20" i="4"/>
  <c r="BF27" i="4"/>
  <c r="BF17" i="4"/>
  <c r="BF22" i="4"/>
  <c r="BF25" i="4"/>
  <c r="BF21" i="4"/>
  <c r="BF19" i="4"/>
  <c r="BF23" i="4"/>
  <c r="BF26" i="4"/>
  <c r="BF28" i="4"/>
  <c r="BF18" i="4"/>
  <c r="D68" i="3"/>
  <c r="E68" i="3"/>
  <c r="F68" i="3"/>
  <c r="G68" i="3"/>
  <c r="H68" i="3"/>
  <c r="I68" i="3"/>
  <c r="J68" i="3"/>
  <c r="K68" i="3"/>
  <c r="L68" i="3"/>
  <c r="M68" i="3"/>
  <c r="N68" i="3"/>
  <c r="O68" i="3"/>
  <c r="P68" i="3"/>
  <c r="Q68" i="3"/>
  <c r="R68" i="3"/>
  <c r="S68" i="3"/>
  <c r="T68" i="3"/>
  <c r="U68" i="3"/>
  <c r="V68" i="3"/>
  <c r="W68" i="3"/>
  <c r="X68" i="3"/>
  <c r="Y68" i="3"/>
  <c r="Z68" i="3"/>
  <c r="AA68" i="3"/>
  <c r="AB68" i="3"/>
  <c r="AC68" i="3"/>
  <c r="AD68" i="3"/>
  <c r="AE68" i="3"/>
  <c r="AF68" i="3"/>
  <c r="AG68" i="3"/>
  <c r="AH68" i="3"/>
  <c r="AI68" i="3"/>
  <c r="AJ68" i="3"/>
  <c r="AK68" i="3"/>
  <c r="AL68" i="3"/>
  <c r="AM68" i="3"/>
  <c r="AN68" i="3"/>
  <c r="AO68" i="3"/>
  <c r="AP68" i="3"/>
  <c r="AQ68" i="3"/>
  <c r="AR68" i="3"/>
  <c r="AS68" i="3"/>
  <c r="AT68" i="3"/>
  <c r="AU68" i="3"/>
  <c r="AV68" i="3"/>
  <c r="AW68" i="3"/>
  <c r="AX68" i="3"/>
  <c r="AY68" i="3"/>
  <c r="AZ68" i="3"/>
  <c r="BA68" i="3"/>
  <c r="BB68" i="3"/>
  <c r="BC68" i="3"/>
  <c r="BD68" i="3"/>
  <c r="BF16" i="3"/>
  <c r="BF15" i="3"/>
  <c r="BF19" i="3"/>
  <c r="BF17" i="3"/>
  <c r="BF18" i="3"/>
  <c r="BF20" i="3"/>
  <c r="BF22" i="3"/>
  <c r="BF21" i="3"/>
  <c r="BF25" i="3"/>
  <c r="BF27" i="3"/>
  <c r="BF23" i="3"/>
  <c r="BF24" i="3"/>
  <c r="BF26" i="3"/>
  <c r="BF28" i="3"/>
  <c r="BF34" i="3"/>
  <c r="BF32" i="3"/>
  <c r="BF29" i="3"/>
  <c r="BF37" i="3"/>
  <c r="BF41" i="3"/>
  <c r="BF43" i="3"/>
  <c r="BF45" i="3"/>
  <c r="BF39" i="3"/>
  <c r="BF38" i="3"/>
  <c r="BF40" i="3"/>
  <c r="BF33" i="3"/>
  <c r="BF30" i="3"/>
  <c r="BF42" i="3"/>
  <c r="BF44" i="3"/>
  <c r="BF46" i="3"/>
  <c r="BF35" i="3"/>
  <c r="BF47" i="3"/>
  <c r="BF49" i="3"/>
  <c r="BF31" i="3"/>
  <c r="BF48" i="3"/>
  <c r="BF51" i="3"/>
  <c r="BF50" i="3"/>
  <c r="BF54" i="3"/>
  <c r="BF52" i="3"/>
  <c r="BF68" i="3"/>
  <c r="BF56" i="3"/>
  <c r="BF62" i="3"/>
  <c r="BF61" i="3"/>
  <c r="BF65" i="3"/>
  <c r="BF59" i="3"/>
  <c r="BF64" i="3"/>
  <c r="BF14" i="3"/>
  <c r="BF55" i="3"/>
  <c r="BF57" i="3"/>
  <c r="BF66" i="3"/>
  <c r="BF60" i="3"/>
  <c r="BF53" i="3"/>
  <c r="BF63" i="3"/>
  <c r="BF36" i="3"/>
  <c r="BF58" i="3"/>
  <c r="BF67" i="3"/>
  <c r="BE68" i="3"/>
  <c r="BF15" i="4"/>
  <c r="E74" i="1"/>
  <c r="F74" i="1"/>
  <c r="D74" i="1"/>
  <c r="G74" i="1"/>
  <c r="H74" i="1"/>
  <c r="I74" i="1"/>
  <c r="J74" i="1"/>
  <c r="K74" i="1"/>
  <c r="L74" i="1"/>
  <c r="M74" i="1"/>
  <c r="N74" i="1"/>
  <c r="O74" i="1"/>
  <c r="P74" i="1"/>
  <c r="Q74" i="1"/>
  <c r="R74" i="1"/>
  <c r="S74" i="1"/>
  <c r="T74" i="1"/>
  <c r="U74" i="1"/>
  <c r="V74" i="1"/>
  <c r="C75" i="1"/>
  <c r="B74" i="1"/>
  <c r="B68" i="3"/>
  <c r="BF12" i="3"/>
  <c r="BG13" i="3"/>
  <c r="C69" i="3"/>
  <c r="BF69" i="3" s="1"/>
  <c r="BG16" i="4"/>
  <c r="BG26" i="4" l="1"/>
  <c r="BG21" i="4"/>
  <c r="BG24" i="4"/>
  <c r="BG17" i="4"/>
  <c r="BG22" i="4"/>
  <c r="BG20" i="4"/>
  <c r="BG25" i="4"/>
  <c r="BG27" i="4"/>
  <c r="BG18" i="4"/>
  <c r="BG23" i="4"/>
  <c r="BG19" i="4"/>
  <c r="BG28" i="4"/>
  <c r="D69" i="3"/>
  <c r="E69" i="3"/>
  <c r="F69" i="3"/>
  <c r="G69" i="3"/>
  <c r="H69" i="3"/>
  <c r="I69" i="3"/>
  <c r="J69" i="3"/>
  <c r="K69" i="3"/>
  <c r="L69" i="3"/>
  <c r="M69" i="3"/>
  <c r="N69" i="3"/>
  <c r="O69" i="3"/>
  <c r="P69" i="3"/>
  <c r="Q69" i="3"/>
  <c r="R69" i="3"/>
  <c r="S69" i="3"/>
  <c r="T69" i="3"/>
  <c r="U69" i="3"/>
  <c r="V69" i="3"/>
  <c r="W69" i="3"/>
  <c r="X69" i="3"/>
  <c r="Y69" i="3"/>
  <c r="Z69" i="3"/>
  <c r="AA69" i="3"/>
  <c r="AB69" i="3"/>
  <c r="AC69" i="3"/>
  <c r="AD69" i="3"/>
  <c r="AE69" i="3"/>
  <c r="AF69" i="3"/>
  <c r="AG69" i="3"/>
  <c r="AH69" i="3"/>
  <c r="AI69" i="3"/>
  <c r="AJ69" i="3"/>
  <c r="AK69" i="3"/>
  <c r="AL69" i="3"/>
  <c r="AM69" i="3"/>
  <c r="AN69" i="3"/>
  <c r="AO69" i="3"/>
  <c r="AP69" i="3"/>
  <c r="AQ69" i="3"/>
  <c r="AR69" i="3"/>
  <c r="AS69" i="3"/>
  <c r="AT69" i="3"/>
  <c r="AU69" i="3"/>
  <c r="AV69" i="3"/>
  <c r="AW69" i="3"/>
  <c r="AX69" i="3"/>
  <c r="AY69" i="3"/>
  <c r="AZ69" i="3"/>
  <c r="BA69" i="3"/>
  <c r="BB69" i="3"/>
  <c r="BC69" i="3"/>
  <c r="BD69" i="3"/>
  <c r="BE69" i="3"/>
  <c r="BG18" i="3"/>
  <c r="BG15" i="3"/>
  <c r="BG17" i="3"/>
  <c r="BG16" i="3"/>
  <c r="BG22" i="3"/>
  <c r="BG24" i="3"/>
  <c r="BG20" i="3"/>
  <c r="BG21" i="3"/>
  <c r="BG23" i="3"/>
  <c r="BG25" i="3"/>
  <c r="BG34" i="3"/>
  <c r="BG29" i="3"/>
  <c r="BG31" i="3"/>
  <c r="BG26" i="3"/>
  <c r="BG27" i="3"/>
  <c r="BG19" i="3"/>
  <c r="BG28" i="3"/>
  <c r="BG30" i="3"/>
  <c r="BG32" i="3"/>
  <c r="BG35" i="3"/>
  <c r="BG36" i="3"/>
  <c r="BG38" i="3"/>
  <c r="BG33" i="3"/>
  <c r="BG37" i="3"/>
  <c r="BG39" i="3"/>
  <c r="BG40" i="3"/>
  <c r="BG48" i="3"/>
  <c r="BG50" i="3"/>
  <c r="BG52" i="3"/>
  <c r="BG53" i="3"/>
  <c r="BG45" i="3"/>
  <c r="BG44" i="3"/>
  <c r="BG55" i="3"/>
  <c r="BG56" i="3"/>
  <c r="BG58" i="3"/>
  <c r="BG60" i="3"/>
  <c r="BG47" i="3"/>
  <c r="BG49" i="3"/>
  <c r="BG51" i="3"/>
  <c r="BG57" i="3"/>
  <c r="BG59" i="3"/>
  <c r="BG43" i="3"/>
  <c r="BG46" i="3"/>
  <c r="BG61" i="3"/>
  <c r="BG63" i="3"/>
  <c r="BG66" i="3"/>
  <c r="BG68" i="3"/>
  <c r="BG42" i="3"/>
  <c r="BG62" i="3"/>
  <c r="BG64" i="3"/>
  <c r="BG65" i="3"/>
  <c r="BG67" i="3"/>
  <c r="BG69" i="3"/>
  <c r="BG54" i="3"/>
  <c r="BG41" i="3"/>
  <c r="BG14" i="3"/>
  <c r="D75" i="1"/>
  <c r="E75" i="1"/>
  <c r="F75" i="1"/>
  <c r="G75" i="1"/>
  <c r="H75" i="1"/>
  <c r="I75" i="1"/>
  <c r="J75" i="1"/>
  <c r="K75" i="1"/>
  <c r="L75" i="1"/>
  <c r="M75" i="1"/>
  <c r="N75" i="1"/>
  <c r="O75" i="1"/>
  <c r="P75" i="1"/>
  <c r="Q75" i="1"/>
  <c r="R75" i="1"/>
  <c r="S75" i="1"/>
  <c r="T75" i="1"/>
  <c r="U75" i="1"/>
  <c r="V75" i="1"/>
  <c r="BG15" i="4"/>
  <c r="C76" i="1"/>
  <c r="B75" i="1"/>
  <c r="B69" i="3"/>
  <c r="BG12" i="3"/>
  <c r="BH13" i="3"/>
  <c r="C70" i="3"/>
  <c r="BH16" i="4"/>
  <c r="BH17" i="4" l="1"/>
  <c r="BH24" i="4"/>
  <c r="BH22" i="4"/>
  <c r="BH19" i="4"/>
  <c r="BH18" i="4"/>
  <c r="BH25" i="4"/>
  <c r="BH27" i="4"/>
  <c r="BH26" i="4"/>
  <c r="BH20" i="4"/>
  <c r="BH28" i="4"/>
  <c r="BH21" i="4"/>
  <c r="BH23" i="4"/>
  <c r="D70" i="3"/>
  <c r="E70" i="3"/>
  <c r="F70" i="3"/>
  <c r="G70" i="3"/>
  <c r="H70" i="3"/>
  <c r="I70" i="3"/>
  <c r="J70" i="3"/>
  <c r="K70" i="3"/>
  <c r="L70" i="3"/>
  <c r="M70" i="3"/>
  <c r="N70" i="3"/>
  <c r="O70" i="3"/>
  <c r="P70" i="3"/>
  <c r="Q70" i="3"/>
  <c r="R70" i="3"/>
  <c r="S70" i="3"/>
  <c r="T70" i="3"/>
  <c r="U70" i="3"/>
  <c r="V70" i="3"/>
  <c r="W70" i="3"/>
  <c r="X70" i="3"/>
  <c r="Y70" i="3"/>
  <c r="Z70" i="3"/>
  <c r="AA70" i="3"/>
  <c r="AB70" i="3"/>
  <c r="AC70" i="3"/>
  <c r="AD70" i="3"/>
  <c r="AE70" i="3"/>
  <c r="AF70" i="3"/>
  <c r="AG70" i="3"/>
  <c r="AH70" i="3"/>
  <c r="AI70" i="3"/>
  <c r="AJ70" i="3"/>
  <c r="AK70" i="3"/>
  <c r="AL70" i="3"/>
  <c r="AM70" i="3"/>
  <c r="AN70" i="3"/>
  <c r="AO70" i="3"/>
  <c r="AP70" i="3"/>
  <c r="AQ70" i="3"/>
  <c r="AR70" i="3"/>
  <c r="AS70" i="3"/>
  <c r="AT70" i="3"/>
  <c r="AU70" i="3"/>
  <c r="AV70" i="3"/>
  <c r="AW70" i="3"/>
  <c r="AX70" i="3"/>
  <c r="AY70" i="3"/>
  <c r="AZ70" i="3"/>
  <c r="BA70" i="3"/>
  <c r="BB70" i="3"/>
  <c r="BC70" i="3"/>
  <c r="BD70" i="3"/>
  <c r="BE70" i="3"/>
  <c r="BF70" i="3"/>
  <c r="BH16" i="3"/>
  <c r="BH15" i="3"/>
  <c r="BH17" i="3"/>
  <c r="BH21" i="3"/>
  <c r="BH23" i="3"/>
  <c r="BH20" i="3"/>
  <c r="BH22" i="3"/>
  <c r="BH19" i="3"/>
  <c r="BH18" i="3"/>
  <c r="BH24" i="3"/>
  <c r="BH27" i="3"/>
  <c r="BH29" i="3"/>
  <c r="BH28" i="3"/>
  <c r="BH25" i="3"/>
  <c r="BH26" i="3"/>
  <c r="BH30" i="3"/>
  <c r="BH31" i="3"/>
  <c r="BH32" i="3"/>
  <c r="BH34" i="3"/>
  <c r="BH33" i="3"/>
  <c r="BH35" i="3"/>
  <c r="BH36" i="3"/>
  <c r="BH38" i="3"/>
  <c r="BH37" i="3"/>
  <c r="BH44" i="3"/>
  <c r="BH41" i="3"/>
  <c r="BH43" i="3"/>
  <c r="BH40" i="3"/>
  <c r="BH42" i="3"/>
  <c r="BH39" i="3"/>
  <c r="BH46" i="3"/>
  <c r="BH45" i="3"/>
  <c r="BH48" i="3"/>
  <c r="BH53" i="3"/>
  <c r="BH47" i="3"/>
  <c r="BH67" i="3"/>
  <c r="BH55" i="3"/>
  <c r="BH56" i="3"/>
  <c r="BH58" i="3"/>
  <c r="BH60" i="3"/>
  <c r="BH69" i="3"/>
  <c r="BH57" i="3"/>
  <c r="BH59" i="3"/>
  <c r="BH61" i="3"/>
  <c r="BH49" i="3"/>
  <c r="BH54" i="3"/>
  <c r="BH62" i="3"/>
  <c r="BH66" i="3"/>
  <c r="BH50" i="3"/>
  <c r="BH68" i="3"/>
  <c r="BH63" i="3"/>
  <c r="BH52" i="3"/>
  <c r="BH70" i="3"/>
  <c r="BH65" i="3"/>
  <c r="BH64" i="3"/>
  <c r="BH51" i="3"/>
  <c r="BH14" i="3"/>
  <c r="BG70" i="3"/>
  <c r="D76" i="1"/>
  <c r="E76" i="1"/>
  <c r="F76" i="1"/>
  <c r="G76" i="1"/>
  <c r="H76" i="1"/>
  <c r="I76" i="1"/>
  <c r="J76" i="1"/>
  <c r="K76" i="1"/>
  <c r="L76" i="1"/>
  <c r="M76" i="1"/>
  <c r="N76" i="1"/>
  <c r="O76" i="1"/>
  <c r="P76" i="1"/>
  <c r="Q76" i="1"/>
  <c r="R76" i="1"/>
  <c r="S76" i="1"/>
  <c r="T76" i="1"/>
  <c r="U76" i="1"/>
  <c r="V76" i="1"/>
  <c r="BH15" i="4"/>
  <c r="C77" i="1"/>
  <c r="B76" i="1"/>
  <c r="B70" i="3"/>
  <c r="BH12" i="3"/>
  <c r="BI13" i="3"/>
  <c r="C71" i="3"/>
  <c r="BI16" i="4"/>
  <c r="BI16" i="3" l="1"/>
  <c r="BI17" i="3"/>
  <c r="BI18" i="3"/>
  <c r="BI15" i="3"/>
  <c r="BI21" i="3"/>
  <c r="BI20" i="3"/>
  <c r="BI19" i="3"/>
  <c r="BI23" i="3"/>
  <c r="BI22" i="3"/>
  <c r="BI26" i="3"/>
  <c r="BI25" i="3"/>
  <c r="BI27" i="3"/>
  <c r="BI28" i="3"/>
  <c r="BI30" i="3"/>
  <c r="BI29" i="3"/>
  <c r="BI31" i="3"/>
  <c r="BI39" i="3"/>
  <c r="BI33" i="3"/>
  <c r="BI35" i="3"/>
  <c r="BI24" i="3"/>
  <c r="BI34" i="3"/>
  <c r="BI36" i="3"/>
  <c r="BI37" i="3"/>
  <c r="BI43" i="3"/>
  <c r="BI32" i="3"/>
  <c r="BI38" i="3"/>
  <c r="BI41" i="3"/>
  <c r="BI48" i="3"/>
  <c r="BI50" i="3"/>
  <c r="BI52" i="3"/>
  <c r="BI54" i="3"/>
  <c r="BI46" i="3"/>
  <c r="BI47" i="3"/>
  <c r="BI49" i="3"/>
  <c r="BI51" i="3"/>
  <c r="BI53" i="3"/>
  <c r="BI55" i="3"/>
  <c r="BI42" i="3"/>
  <c r="BI44" i="3"/>
  <c r="BI57" i="3"/>
  <c r="BI59" i="3"/>
  <c r="BI61" i="3"/>
  <c r="BI63" i="3"/>
  <c r="BI65" i="3"/>
  <c r="BI71" i="3"/>
  <c r="BI56" i="3"/>
  <c r="BI58" i="3"/>
  <c r="BI60" i="3"/>
  <c r="BI62" i="3"/>
  <c r="BI64" i="3"/>
  <c r="BI40" i="3"/>
  <c r="BI66" i="3"/>
  <c r="BI45" i="3"/>
  <c r="BI70" i="3"/>
  <c r="BI67" i="3"/>
  <c r="BI69" i="3"/>
  <c r="BI14" i="3"/>
  <c r="BI68" i="3"/>
  <c r="BI20" i="4"/>
  <c r="BI23" i="4"/>
  <c r="BI26" i="4"/>
  <c r="BI17" i="4"/>
  <c r="BI22" i="4"/>
  <c r="BI27" i="4"/>
  <c r="BI19" i="4"/>
  <c r="BI18" i="4"/>
  <c r="BI25" i="4"/>
  <c r="BI28" i="4"/>
  <c r="BI24" i="4"/>
  <c r="BI21" i="4"/>
  <c r="D71" i="3"/>
  <c r="E71" i="3"/>
  <c r="F71" i="3"/>
  <c r="G71" i="3"/>
  <c r="H71" i="3"/>
  <c r="I71" i="3"/>
  <c r="J71" i="3"/>
  <c r="K71" i="3"/>
  <c r="L71" i="3"/>
  <c r="M71" i="3"/>
  <c r="N71" i="3"/>
  <c r="O71" i="3"/>
  <c r="P71" i="3"/>
  <c r="Q71" i="3"/>
  <c r="R71" i="3"/>
  <c r="S71" i="3"/>
  <c r="T71" i="3"/>
  <c r="U71" i="3"/>
  <c r="V71" i="3"/>
  <c r="W71" i="3"/>
  <c r="X71" i="3"/>
  <c r="Y71" i="3"/>
  <c r="Z71" i="3"/>
  <c r="AA71" i="3"/>
  <c r="AB71" i="3"/>
  <c r="AC71" i="3"/>
  <c r="AD71" i="3"/>
  <c r="AE71" i="3"/>
  <c r="AF71" i="3"/>
  <c r="AG71" i="3"/>
  <c r="AH71" i="3"/>
  <c r="AI71" i="3"/>
  <c r="AJ71" i="3"/>
  <c r="AK71" i="3"/>
  <c r="AL71" i="3"/>
  <c r="AM71" i="3"/>
  <c r="AN71" i="3"/>
  <c r="AO71" i="3"/>
  <c r="AP71" i="3"/>
  <c r="AQ71" i="3"/>
  <c r="AR71" i="3"/>
  <c r="AS71" i="3"/>
  <c r="AT71" i="3"/>
  <c r="AU71" i="3"/>
  <c r="AV71" i="3"/>
  <c r="AW71" i="3"/>
  <c r="AX71" i="3"/>
  <c r="AY71" i="3"/>
  <c r="AZ71" i="3"/>
  <c r="BA71" i="3"/>
  <c r="BB71" i="3"/>
  <c r="BC71" i="3"/>
  <c r="BD71" i="3"/>
  <c r="BE71" i="3"/>
  <c r="BF71" i="3"/>
  <c r="BG71" i="3"/>
  <c r="BH71" i="3"/>
  <c r="E77" i="1"/>
  <c r="F77" i="1"/>
  <c r="D77" i="1"/>
  <c r="G77" i="1"/>
  <c r="H77" i="1"/>
  <c r="I77" i="1"/>
  <c r="J77" i="1"/>
  <c r="K77" i="1"/>
  <c r="L77" i="1"/>
  <c r="M77" i="1"/>
  <c r="N77" i="1"/>
  <c r="O77" i="1"/>
  <c r="P77" i="1"/>
  <c r="Q77" i="1"/>
  <c r="R77" i="1"/>
  <c r="S77" i="1"/>
  <c r="T77" i="1"/>
  <c r="U77" i="1"/>
  <c r="V77" i="1"/>
  <c r="BI15" i="4"/>
  <c r="C78" i="1"/>
  <c r="B77" i="1"/>
  <c r="B71" i="3"/>
  <c r="BI12" i="3"/>
  <c r="BJ13" i="3"/>
  <c r="C72" i="3"/>
  <c r="BJ16" i="4"/>
  <c r="BJ28" i="4" l="1"/>
  <c r="BJ17" i="4"/>
  <c r="BJ20" i="4"/>
  <c r="BJ19" i="4"/>
  <c r="BJ27" i="4"/>
  <c r="BJ18" i="4"/>
  <c r="BJ23" i="4"/>
  <c r="BJ22" i="4"/>
  <c r="BJ24" i="4"/>
  <c r="BJ26" i="4"/>
  <c r="BJ25" i="4"/>
  <c r="BJ21" i="4"/>
  <c r="D72" i="3"/>
  <c r="E72" i="3"/>
  <c r="F72" i="3"/>
  <c r="G72" i="3"/>
  <c r="H72" i="3"/>
  <c r="I72" i="3"/>
  <c r="J72" i="3"/>
  <c r="K72" i="3"/>
  <c r="L72" i="3"/>
  <c r="M72" i="3"/>
  <c r="N72" i="3"/>
  <c r="O72" i="3"/>
  <c r="P72" i="3"/>
  <c r="Q72" i="3"/>
  <c r="R72" i="3"/>
  <c r="S72" i="3"/>
  <c r="T72" i="3"/>
  <c r="U72" i="3"/>
  <c r="V72" i="3"/>
  <c r="W72" i="3"/>
  <c r="X72" i="3"/>
  <c r="Y72" i="3"/>
  <c r="Z72" i="3"/>
  <c r="AA72" i="3"/>
  <c r="AB72" i="3"/>
  <c r="AC72" i="3"/>
  <c r="AD72" i="3"/>
  <c r="AE72" i="3"/>
  <c r="AF72" i="3"/>
  <c r="AG72" i="3"/>
  <c r="AH72" i="3"/>
  <c r="AI72" i="3"/>
  <c r="AJ72" i="3"/>
  <c r="AK72" i="3"/>
  <c r="AL72" i="3"/>
  <c r="AM72" i="3"/>
  <c r="AN72" i="3"/>
  <c r="AO72" i="3"/>
  <c r="AP72" i="3"/>
  <c r="AQ72" i="3"/>
  <c r="AR72" i="3"/>
  <c r="AS72" i="3"/>
  <c r="AT72" i="3"/>
  <c r="AU72" i="3"/>
  <c r="AV72" i="3"/>
  <c r="AW72" i="3"/>
  <c r="AX72" i="3"/>
  <c r="AY72" i="3"/>
  <c r="AZ72" i="3"/>
  <c r="BA72" i="3"/>
  <c r="BB72" i="3"/>
  <c r="BC72" i="3"/>
  <c r="BD72" i="3"/>
  <c r="BE72" i="3"/>
  <c r="BF72" i="3"/>
  <c r="BG72" i="3"/>
  <c r="BH72" i="3"/>
  <c r="BJ16" i="3"/>
  <c r="BJ15" i="3"/>
  <c r="BJ19" i="3"/>
  <c r="BJ17" i="3"/>
  <c r="BJ21" i="3"/>
  <c r="BJ18" i="3"/>
  <c r="BJ20" i="3"/>
  <c r="BJ22" i="3"/>
  <c r="BJ25" i="3"/>
  <c r="BJ27" i="3"/>
  <c r="BJ24" i="3"/>
  <c r="BJ26" i="3"/>
  <c r="BJ28" i="3"/>
  <c r="BJ23" i="3"/>
  <c r="BJ30" i="3"/>
  <c r="BJ41" i="3"/>
  <c r="BJ29" i="3"/>
  <c r="BJ32" i="3"/>
  <c r="BJ31" i="3"/>
  <c r="BJ42" i="3"/>
  <c r="BJ44" i="3"/>
  <c r="BJ46" i="3"/>
  <c r="BJ36" i="3"/>
  <c r="BJ43" i="3"/>
  <c r="BJ45" i="3"/>
  <c r="BJ35" i="3"/>
  <c r="BJ37" i="3"/>
  <c r="BJ40" i="3"/>
  <c r="BJ34" i="3"/>
  <c r="BJ39" i="3"/>
  <c r="BJ51" i="3"/>
  <c r="BJ47" i="3"/>
  <c r="BJ49" i="3"/>
  <c r="BJ50" i="3"/>
  <c r="BJ48" i="3"/>
  <c r="BJ33" i="3"/>
  <c r="BJ52" i="3"/>
  <c r="BJ54" i="3"/>
  <c r="BJ38" i="3"/>
  <c r="BJ60" i="3"/>
  <c r="BJ64" i="3"/>
  <c r="BJ70" i="3"/>
  <c r="BJ53" i="3"/>
  <c r="BJ58" i="3"/>
  <c r="BJ63" i="3"/>
  <c r="BJ55" i="3"/>
  <c r="BJ56" i="3"/>
  <c r="BJ65" i="3"/>
  <c r="BJ68" i="3"/>
  <c r="BJ14" i="3"/>
  <c r="BJ57" i="3"/>
  <c r="BJ69" i="3"/>
  <c r="BJ62" i="3"/>
  <c r="BJ66" i="3"/>
  <c r="BJ71" i="3"/>
  <c r="BJ61" i="3"/>
  <c r="BJ72" i="3"/>
  <c r="BJ59" i="3"/>
  <c r="BJ67" i="3"/>
  <c r="BI72" i="3"/>
  <c r="D78" i="1"/>
  <c r="F78" i="1"/>
  <c r="E78" i="1"/>
  <c r="G78" i="1"/>
  <c r="H78" i="1"/>
  <c r="I78" i="1"/>
  <c r="J78" i="1"/>
  <c r="K78" i="1"/>
  <c r="L78" i="1"/>
  <c r="M78" i="1"/>
  <c r="N78" i="1"/>
  <c r="O78" i="1"/>
  <c r="P78" i="1"/>
  <c r="Q78" i="1"/>
  <c r="R78" i="1"/>
  <c r="S78" i="1"/>
  <c r="T78" i="1"/>
  <c r="U78" i="1"/>
  <c r="V78" i="1"/>
  <c r="BJ15" i="4"/>
  <c r="C79" i="1"/>
  <c r="B78" i="1"/>
  <c r="B72" i="3"/>
  <c r="BJ12" i="3"/>
  <c r="BK13" i="3"/>
  <c r="C73" i="3"/>
  <c r="BK16" i="4"/>
  <c r="BK26" i="4" l="1"/>
  <c r="BK18" i="4"/>
  <c r="BK27" i="4"/>
  <c r="BK19" i="4"/>
  <c r="BK20" i="4"/>
  <c r="BK22" i="4"/>
  <c r="BK21" i="4"/>
  <c r="BK25" i="4"/>
  <c r="BK17" i="4"/>
  <c r="BK23" i="4"/>
  <c r="BK24" i="4"/>
  <c r="BK28" i="4"/>
  <c r="D73" i="3"/>
  <c r="E73" i="3"/>
  <c r="F73" i="3"/>
  <c r="G73" i="3"/>
  <c r="H73" i="3"/>
  <c r="I73" i="3"/>
  <c r="J73" i="3"/>
  <c r="K73" i="3"/>
  <c r="L73" i="3"/>
  <c r="M73" i="3"/>
  <c r="N73" i="3"/>
  <c r="O73" i="3"/>
  <c r="P73" i="3"/>
  <c r="Q73" i="3"/>
  <c r="R73" i="3"/>
  <c r="S73" i="3"/>
  <c r="T73" i="3"/>
  <c r="U73" i="3"/>
  <c r="V73" i="3"/>
  <c r="W73" i="3"/>
  <c r="X73" i="3"/>
  <c r="Y73" i="3"/>
  <c r="Z73" i="3"/>
  <c r="AA73" i="3"/>
  <c r="AB73" i="3"/>
  <c r="AC73" i="3"/>
  <c r="AD73" i="3"/>
  <c r="AE73" i="3"/>
  <c r="AF73" i="3"/>
  <c r="AG73" i="3"/>
  <c r="AH73" i="3"/>
  <c r="AI73" i="3"/>
  <c r="AJ73" i="3"/>
  <c r="AK73" i="3"/>
  <c r="AL73" i="3"/>
  <c r="AM73" i="3"/>
  <c r="AN73" i="3"/>
  <c r="AO73" i="3"/>
  <c r="AP73" i="3"/>
  <c r="AQ73" i="3"/>
  <c r="AR73" i="3"/>
  <c r="AS73" i="3"/>
  <c r="AT73" i="3"/>
  <c r="AU73" i="3"/>
  <c r="AV73" i="3"/>
  <c r="AW73" i="3"/>
  <c r="AX73" i="3"/>
  <c r="AY73" i="3"/>
  <c r="AZ73" i="3"/>
  <c r="BA73" i="3"/>
  <c r="BB73" i="3"/>
  <c r="BC73" i="3"/>
  <c r="BD73" i="3"/>
  <c r="BE73" i="3"/>
  <c r="BF73" i="3"/>
  <c r="BG73" i="3"/>
  <c r="BH73" i="3"/>
  <c r="BI73" i="3"/>
  <c r="BK16" i="3"/>
  <c r="BK19" i="3"/>
  <c r="BK18" i="3"/>
  <c r="BK15" i="3"/>
  <c r="BK17" i="3"/>
  <c r="BK21" i="3"/>
  <c r="BK24" i="3"/>
  <c r="BK23" i="3"/>
  <c r="BK22" i="3"/>
  <c r="BK28" i="3"/>
  <c r="BK30" i="3"/>
  <c r="BK32" i="3"/>
  <c r="BK29" i="3"/>
  <c r="BK31" i="3"/>
  <c r="BK26" i="3"/>
  <c r="BK33" i="3"/>
  <c r="BK35" i="3"/>
  <c r="BK36" i="3"/>
  <c r="BK38" i="3"/>
  <c r="BK34" i="3"/>
  <c r="BK20" i="3"/>
  <c r="BK37" i="3"/>
  <c r="BK39" i="3"/>
  <c r="BK27" i="3"/>
  <c r="BK40" i="3"/>
  <c r="BK43" i="3"/>
  <c r="BK57" i="3"/>
  <c r="BK59" i="3"/>
  <c r="BK61" i="3"/>
  <c r="BK63" i="3"/>
  <c r="BK42" i="3"/>
  <c r="BK44" i="3"/>
  <c r="BK48" i="3"/>
  <c r="BK50" i="3"/>
  <c r="BK52" i="3"/>
  <c r="BK25" i="3"/>
  <c r="BK41" i="3"/>
  <c r="BK46" i="3"/>
  <c r="BK45" i="3"/>
  <c r="BK47" i="3"/>
  <c r="BK49" i="3"/>
  <c r="BK51" i="3"/>
  <c r="BK56" i="3"/>
  <c r="BK64" i="3"/>
  <c r="BK65" i="3"/>
  <c r="BK67" i="3"/>
  <c r="BK69" i="3"/>
  <c r="BK55" i="3"/>
  <c r="BK60" i="3"/>
  <c r="BK66" i="3"/>
  <c r="BK68" i="3"/>
  <c r="BK70" i="3"/>
  <c r="BK58" i="3"/>
  <c r="BK62" i="3"/>
  <c r="BK54" i="3"/>
  <c r="BK72" i="3"/>
  <c r="BK14" i="3"/>
  <c r="BK71" i="3"/>
  <c r="BK73" i="3"/>
  <c r="BK53" i="3"/>
  <c r="BJ73" i="3"/>
  <c r="B79" i="1"/>
  <c r="F79" i="1"/>
  <c r="D79" i="1"/>
  <c r="E79" i="1"/>
  <c r="G79" i="1"/>
  <c r="H79" i="1"/>
  <c r="I79" i="1"/>
  <c r="J79" i="1"/>
  <c r="K79" i="1"/>
  <c r="L79" i="1"/>
  <c r="M79" i="1"/>
  <c r="N79" i="1"/>
  <c r="O79" i="1"/>
  <c r="P79" i="1"/>
  <c r="Q79" i="1"/>
  <c r="R79" i="1"/>
  <c r="S79" i="1"/>
  <c r="T79" i="1"/>
  <c r="U79" i="1"/>
  <c r="V79" i="1"/>
  <c r="BK15" i="4"/>
  <c r="B73" i="3"/>
  <c r="BK12" i="3"/>
  <c r="BL13" i="3"/>
  <c r="C74" i="3"/>
  <c r="BL16" i="4"/>
  <c r="D74" i="3" l="1"/>
  <c r="E74" i="3"/>
  <c r="F74" i="3"/>
  <c r="G74" i="3"/>
  <c r="H74" i="3"/>
  <c r="I74" i="3"/>
  <c r="J74" i="3"/>
  <c r="K74" i="3"/>
  <c r="L74" i="3"/>
  <c r="M74" i="3"/>
  <c r="N74" i="3"/>
  <c r="O74" i="3"/>
  <c r="P74" i="3"/>
  <c r="Q74" i="3"/>
  <c r="R74" i="3"/>
  <c r="S74" i="3"/>
  <c r="T74" i="3"/>
  <c r="U74" i="3"/>
  <c r="V74" i="3"/>
  <c r="W74" i="3"/>
  <c r="X74" i="3"/>
  <c r="Y74" i="3"/>
  <c r="Z74" i="3"/>
  <c r="AA74" i="3"/>
  <c r="AB74" i="3"/>
  <c r="AC74" i="3"/>
  <c r="AD74" i="3"/>
  <c r="AE74" i="3"/>
  <c r="AF74" i="3"/>
  <c r="AG74" i="3"/>
  <c r="AH74" i="3"/>
  <c r="AI74" i="3"/>
  <c r="AJ74" i="3"/>
  <c r="AK74" i="3"/>
  <c r="AL74" i="3"/>
  <c r="AM74" i="3"/>
  <c r="AN74" i="3"/>
  <c r="AO74" i="3"/>
  <c r="AP74" i="3"/>
  <c r="AQ74" i="3"/>
  <c r="AR74" i="3"/>
  <c r="AS74" i="3"/>
  <c r="AT74" i="3"/>
  <c r="AU74" i="3"/>
  <c r="AV74" i="3"/>
  <c r="AW74" i="3"/>
  <c r="AX74" i="3"/>
  <c r="AY74" i="3"/>
  <c r="AZ74" i="3"/>
  <c r="BA74" i="3"/>
  <c r="BB74" i="3"/>
  <c r="BC74" i="3"/>
  <c r="BD74" i="3"/>
  <c r="BE74" i="3"/>
  <c r="BF74" i="3"/>
  <c r="BG74" i="3"/>
  <c r="BH74" i="3"/>
  <c r="BI74" i="3"/>
  <c r="BJ74" i="3"/>
  <c r="BK74" i="3"/>
  <c r="BL73" i="3"/>
  <c r="BL69" i="3"/>
  <c r="BL67" i="3"/>
  <c r="BL18" i="3"/>
  <c r="BL71" i="3"/>
  <c r="BL17" i="3"/>
  <c r="BL16" i="3"/>
  <c r="BL19" i="3"/>
  <c r="BL23" i="3"/>
  <c r="BL22" i="3"/>
  <c r="BL15" i="3"/>
  <c r="BL21" i="3"/>
  <c r="BL20" i="3"/>
  <c r="BL25" i="3"/>
  <c r="BL24" i="3"/>
  <c r="BL28" i="3"/>
  <c r="BL26" i="3"/>
  <c r="BL27" i="3"/>
  <c r="BL33" i="3"/>
  <c r="BL31" i="3"/>
  <c r="BL34" i="3"/>
  <c r="BL30" i="3"/>
  <c r="BL32" i="3"/>
  <c r="BL29" i="3"/>
  <c r="BL36" i="3"/>
  <c r="BL40" i="3"/>
  <c r="BL42" i="3"/>
  <c r="BL35" i="3"/>
  <c r="BL37" i="3"/>
  <c r="BL39" i="3"/>
  <c r="BL41" i="3"/>
  <c r="BL43" i="3"/>
  <c r="BL38" i="3"/>
  <c r="BL53" i="3"/>
  <c r="BL45" i="3"/>
  <c r="BL55" i="3"/>
  <c r="BL51" i="3"/>
  <c r="BL57" i="3"/>
  <c r="BL59" i="3"/>
  <c r="BL61" i="3"/>
  <c r="BL54" i="3"/>
  <c r="BL44" i="3"/>
  <c r="BL50" i="3"/>
  <c r="BL46" i="3"/>
  <c r="BL56" i="3"/>
  <c r="BL58" i="3"/>
  <c r="BL60" i="3"/>
  <c r="BL48" i="3"/>
  <c r="BL52" i="3"/>
  <c r="BL62" i="3"/>
  <c r="BL66" i="3"/>
  <c r="BL47" i="3"/>
  <c r="BL65" i="3"/>
  <c r="BL68" i="3"/>
  <c r="BL64" i="3"/>
  <c r="BL70" i="3"/>
  <c r="BL49" i="3"/>
  <c r="BL63" i="3"/>
  <c r="BL14" i="3"/>
  <c r="BL72" i="3"/>
  <c r="BL74" i="3"/>
  <c r="BL21" i="4"/>
  <c r="BL25" i="4"/>
  <c r="BL27" i="4"/>
  <c r="BL28" i="4"/>
  <c r="BL24" i="4"/>
  <c r="BL26" i="4"/>
  <c r="BL17" i="4"/>
  <c r="BL19" i="4"/>
  <c r="BL20" i="4"/>
  <c r="BL23" i="4"/>
  <c r="BL22" i="4"/>
  <c r="BL18" i="4"/>
  <c r="BL15" i="4"/>
  <c r="B74" i="3"/>
  <c r="BL12" i="3"/>
  <c r="BM13" i="3"/>
  <c r="C75" i="3"/>
  <c r="BM16" i="4"/>
  <c r="BM21" i="4" l="1"/>
  <c r="BM26" i="4"/>
  <c r="BM20" i="4"/>
  <c r="BM24" i="4"/>
  <c r="BM27" i="4"/>
  <c r="BM22" i="4"/>
  <c r="BM18" i="4"/>
  <c r="BM17" i="4"/>
  <c r="BM19" i="4"/>
  <c r="BM28" i="4"/>
  <c r="BM23" i="4"/>
  <c r="BM25" i="4"/>
  <c r="D75" i="3"/>
  <c r="E75" i="3"/>
  <c r="F75" i="3"/>
  <c r="G75" i="3"/>
  <c r="H75" i="3"/>
  <c r="I75" i="3"/>
  <c r="J75" i="3"/>
  <c r="K75" i="3"/>
  <c r="L75" i="3"/>
  <c r="M75" i="3"/>
  <c r="N75" i="3"/>
  <c r="O75" i="3"/>
  <c r="P75" i="3"/>
  <c r="Q75" i="3"/>
  <c r="R75" i="3"/>
  <c r="S75" i="3"/>
  <c r="T75" i="3"/>
  <c r="U75" i="3"/>
  <c r="V75" i="3"/>
  <c r="W75" i="3"/>
  <c r="X75" i="3"/>
  <c r="Y75" i="3"/>
  <c r="Z75" i="3"/>
  <c r="AA75" i="3"/>
  <c r="AB75" i="3"/>
  <c r="AC75" i="3"/>
  <c r="AD75" i="3"/>
  <c r="AE75" i="3"/>
  <c r="AF75" i="3"/>
  <c r="AG75" i="3"/>
  <c r="AH75" i="3"/>
  <c r="AI75" i="3"/>
  <c r="AJ75" i="3"/>
  <c r="AK75" i="3"/>
  <c r="AL75" i="3"/>
  <c r="AM75" i="3"/>
  <c r="AN75" i="3"/>
  <c r="AO75" i="3"/>
  <c r="AP75" i="3"/>
  <c r="AQ75" i="3"/>
  <c r="AR75" i="3"/>
  <c r="AS75" i="3"/>
  <c r="AT75" i="3"/>
  <c r="AU75" i="3"/>
  <c r="AV75" i="3"/>
  <c r="AW75" i="3"/>
  <c r="AX75" i="3"/>
  <c r="AY75" i="3"/>
  <c r="AZ75" i="3"/>
  <c r="BA75" i="3"/>
  <c r="BB75" i="3"/>
  <c r="BC75" i="3"/>
  <c r="BD75" i="3"/>
  <c r="BE75" i="3"/>
  <c r="BF75" i="3"/>
  <c r="BG75" i="3"/>
  <c r="BH75" i="3"/>
  <c r="BI75" i="3"/>
  <c r="BJ75" i="3"/>
  <c r="BK75" i="3"/>
  <c r="BM15" i="3"/>
  <c r="BM14" i="3"/>
  <c r="BM16" i="3"/>
  <c r="BM20" i="3"/>
  <c r="BM21" i="3"/>
  <c r="BM17" i="3"/>
  <c r="BM19" i="3"/>
  <c r="BM18" i="3"/>
  <c r="BM23" i="3"/>
  <c r="BM22" i="3"/>
  <c r="BM29" i="3"/>
  <c r="BM31" i="3"/>
  <c r="BM27" i="3"/>
  <c r="BM24" i="3"/>
  <c r="BM28" i="3"/>
  <c r="BM30" i="3"/>
  <c r="BM25" i="3"/>
  <c r="BM26" i="3"/>
  <c r="BM34" i="3"/>
  <c r="BM36" i="3"/>
  <c r="BM32" i="3"/>
  <c r="BM33" i="3"/>
  <c r="BM35" i="3"/>
  <c r="BM38" i="3"/>
  <c r="BM46" i="3"/>
  <c r="BM39" i="3"/>
  <c r="BM41" i="3"/>
  <c r="BM45" i="3"/>
  <c r="BM40" i="3"/>
  <c r="BM48" i="3"/>
  <c r="BM50" i="3"/>
  <c r="BM52" i="3"/>
  <c r="BM54" i="3"/>
  <c r="BM44" i="3"/>
  <c r="BM43" i="3"/>
  <c r="BM47" i="3"/>
  <c r="BM49" i="3"/>
  <c r="BM51" i="3"/>
  <c r="BM53" i="3"/>
  <c r="BM55" i="3"/>
  <c r="BM37" i="3"/>
  <c r="BM42" i="3"/>
  <c r="BM57" i="3"/>
  <c r="BM59" i="3"/>
  <c r="BM61" i="3"/>
  <c r="BM63" i="3"/>
  <c r="BM65" i="3"/>
  <c r="BM67" i="3"/>
  <c r="BM56" i="3"/>
  <c r="BM58" i="3"/>
  <c r="BM60" i="3"/>
  <c r="BM62" i="3"/>
  <c r="BM64" i="3"/>
  <c r="BM73" i="3"/>
  <c r="BM75" i="3"/>
  <c r="BM66" i="3"/>
  <c r="BM69" i="3"/>
  <c r="BM72" i="3"/>
  <c r="BM68" i="3"/>
  <c r="BM71" i="3"/>
  <c r="BM74" i="3"/>
  <c r="BM70" i="3"/>
  <c r="BL75" i="3"/>
  <c r="BM15" i="4"/>
  <c r="B75" i="3"/>
  <c r="BM12" i="3"/>
  <c r="BN13" i="3"/>
  <c r="C76" i="3"/>
  <c r="BM76" i="3" s="1"/>
  <c r="BN16" i="4"/>
  <c r="BN24" i="4" l="1"/>
  <c r="BN22" i="4"/>
  <c r="BN23" i="4"/>
  <c r="BN28" i="4"/>
  <c r="BN27" i="4"/>
  <c r="BN19" i="4"/>
  <c r="BN21" i="4"/>
  <c r="BN25" i="4"/>
  <c r="BN26" i="4"/>
  <c r="BN20" i="4"/>
  <c r="BN18" i="4"/>
  <c r="BN17" i="4"/>
  <c r="BN15" i="3"/>
  <c r="BN70" i="3"/>
  <c r="BN16" i="3"/>
  <c r="BN18" i="3"/>
  <c r="BN19" i="3"/>
  <c r="BN17" i="3"/>
  <c r="BN21" i="3"/>
  <c r="BN20" i="3"/>
  <c r="BN24" i="3"/>
  <c r="BN26" i="3"/>
  <c r="BN23" i="3"/>
  <c r="BN22" i="3"/>
  <c r="BN25" i="3"/>
  <c r="BN27" i="3"/>
  <c r="BN37" i="3"/>
  <c r="BN28" i="3"/>
  <c r="BN31" i="3"/>
  <c r="BN30" i="3"/>
  <c r="BN39" i="3"/>
  <c r="BN40" i="3"/>
  <c r="BN38" i="3"/>
  <c r="BN42" i="3"/>
  <c r="BN44" i="3"/>
  <c r="BN46" i="3"/>
  <c r="BN41" i="3"/>
  <c r="BN29" i="3"/>
  <c r="BN34" i="3"/>
  <c r="BN33" i="3"/>
  <c r="BN43" i="3"/>
  <c r="BN45" i="3"/>
  <c r="BN36" i="3"/>
  <c r="BN48" i="3"/>
  <c r="BN35" i="3"/>
  <c r="BN47" i="3"/>
  <c r="BN49" i="3"/>
  <c r="BN52" i="3"/>
  <c r="BN53" i="3"/>
  <c r="BN51" i="3"/>
  <c r="BN32" i="3"/>
  <c r="BN55" i="3"/>
  <c r="BN50" i="3"/>
  <c r="BN71" i="3"/>
  <c r="BN72" i="3"/>
  <c r="BN56" i="3"/>
  <c r="BN69" i="3"/>
  <c r="BN63" i="3"/>
  <c r="BN59" i="3"/>
  <c r="BN14" i="3"/>
  <c r="BN57" i="3"/>
  <c r="BN54" i="3"/>
  <c r="BN62" i="3"/>
  <c r="BN75" i="3"/>
  <c r="BN61" i="3"/>
  <c r="BN60" i="3"/>
  <c r="BN65" i="3"/>
  <c r="BN73" i="3"/>
  <c r="BN74" i="3"/>
  <c r="BN58" i="3"/>
  <c r="BN67" i="3"/>
  <c r="BN76" i="3"/>
  <c r="BN66" i="3"/>
  <c r="BN64" i="3"/>
  <c r="BN68" i="3"/>
  <c r="D76" i="3"/>
  <c r="E76" i="3"/>
  <c r="F76" i="3"/>
  <c r="G76" i="3"/>
  <c r="H76" i="3"/>
  <c r="I76" i="3"/>
  <c r="J76" i="3"/>
  <c r="K76" i="3"/>
  <c r="L76" i="3"/>
  <c r="M76" i="3"/>
  <c r="N76" i="3"/>
  <c r="O76" i="3"/>
  <c r="P76" i="3"/>
  <c r="Q76" i="3"/>
  <c r="R76" i="3"/>
  <c r="S76" i="3"/>
  <c r="T76" i="3"/>
  <c r="U76" i="3"/>
  <c r="V76" i="3"/>
  <c r="W76" i="3"/>
  <c r="X76" i="3"/>
  <c r="Y76" i="3"/>
  <c r="Z76" i="3"/>
  <c r="AA76" i="3"/>
  <c r="AB76" i="3"/>
  <c r="AC76" i="3"/>
  <c r="AD76" i="3"/>
  <c r="AE76" i="3"/>
  <c r="AF76" i="3"/>
  <c r="AG76" i="3"/>
  <c r="AH76" i="3"/>
  <c r="AI76" i="3"/>
  <c r="AJ76" i="3"/>
  <c r="AK76" i="3"/>
  <c r="AL76" i="3"/>
  <c r="AM76" i="3"/>
  <c r="AN76" i="3"/>
  <c r="AO76" i="3"/>
  <c r="AP76" i="3"/>
  <c r="AQ76" i="3"/>
  <c r="AR76" i="3"/>
  <c r="AS76" i="3"/>
  <c r="AT76" i="3"/>
  <c r="AU76" i="3"/>
  <c r="AV76" i="3"/>
  <c r="AW76" i="3"/>
  <c r="AX76" i="3"/>
  <c r="AY76" i="3"/>
  <c r="AZ76" i="3"/>
  <c r="BA76" i="3"/>
  <c r="BB76" i="3"/>
  <c r="BC76" i="3"/>
  <c r="BD76" i="3"/>
  <c r="BE76" i="3"/>
  <c r="BF76" i="3"/>
  <c r="BG76" i="3"/>
  <c r="BH76" i="3"/>
  <c r="BI76" i="3"/>
  <c r="BJ76" i="3"/>
  <c r="BK76" i="3"/>
  <c r="BL76" i="3"/>
  <c r="BN15" i="4"/>
  <c r="B76" i="3"/>
  <c r="BN12" i="3"/>
  <c r="BO13" i="3"/>
  <c r="BO16" i="4"/>
  <c r="BO16" i="3" l="1"/>
  <c r="BO18" i="3"/>
  <c r="BO22" i="3"/>
  <c r="BO15" i="3"/>
  <c r="BO19" i="3"/>
  <c r="BO20" i="3"/>
  <c r="BO21" i="3"/>
  <c r="BO17" i="3"/>
  <c r="BO24" i="3"/>
  <c r="BO33" i="3"/>
  <c r="BO35" i="3"/>
  <c r="BO26" i="3"/>
  <c r="BO28" i="3"/>
  <c r="BO30" i="3"/>
  <c r="BO32" i="3"/>
  <c r="BO25" i="3"/>
  <c r="BO27" i="3"/>
  <c r="BO23" i="3"/>
  <c r="BO29" i="3"/>
  <c r="BO31" i="3"/>
  <c r="BO37" i="3"/>
  <c r="BO39" i="3"/>
  <c r="BO36" i="3"/>
  <c r="BO38" i="3"/>
  <c r="BO34" i="3"/>
  <c r="BO40" i="3"/>
  <c r="BO44" i="3"/>
  <c r="BO47" i="3"/>
  <c r="BO49" i="3"/>
  <c r="BO51" i="3"/>
  <c r="BO54" i="3"/>
  <c r="BO46" i="3"/>
  <c r="BO41" i="3"/>
  <c r="BO57" i="3"/>
  <c r="BO59" i="3"/>
  <c r="BO61" i="3"/>
  <c r="BO48" i="3"/>
  <c r="BO50" i="3"/>
  <c r="BO52" i="3"/>
  <c r="BO45" i="3"/>
  <c r="BO56" i="3"/>
  <c r="BO58" i="3"/>
  <c r="BO60" i="3"/>
  <c r="BO62" i="3"/>
  <c r="BO64" i="3"/>
  <c r="BO65" i="3"/>
  <c r="BO67" i="3"/>
  <c r="BO69" i="3"/>
  <c r="BO43" i="3"/>
  <c r="BO63" i="3"/>
  <c r="BO53" i="3"/>
  <c r="BO66" i="3"/>
  <c r="BO68" i="3"/>
  <c r="BO70" i="3"/>
  <c r="BO55" i="3"/>
  <c r="BO14" i="3"/>
  <c r="BO71" i="3"/>
  <c r="BO73" i="3"/>
  <c r="BO75" i="3"/>
  <c r="BO42" i="3"/>
  <c r="BO72" i="3"/>
  <c r="BO74" i="3"/>
  <c r="BO76" i="3"/>
  <c r="BO22" i="4"/>
  <c r="BO23" i="4"/>
  <c r="BO26" i="4"/>
  <c r="BO19" i="4"/>
  <c r="BO28" i="4"/>
  <c r="BO24" i="4"/>
  <c r="BO17" i="4"/>
  <c r="BO21" i="4"/>
  <c r="BO27" i="4"/>
  <c r="BO18" i="4"/>
  <c r="BO20" i="4"/>
  <c r="BO25" i="4"/>
  <c r="BO15" i="4"/>
  <c r="BO12" i="3"/>
  <c r="BP13" i="3"/>
  <c r="BP16" i="4"/>
  <c r="BP21" i="4" l="1"/>
  <c r="BP25" i="4"/>
  <c r="BP20" i="4"/>
  <c r="BP17" i="4"/>
  <c r="BP28" i="4"/>
  <c r="BP23" i="4"/>
  <c r="BP18" i="4"/>
  <c r="BP24" i="4"/>
  <c r="BP26" i="4"/>
  <c r="BP19" i="4"/>
  <c r="BP27" i="4"/>
  <c r="BP22" i="4"/>
  <c r="BP73" i="3"/>
  <c r="BP71" i="3"/>
  <c r="BP15" i="3"/>
  <c r="BP17" i="3"/>
  <c r="BP16" i="3"/>
  <c r="BP20" i="3"/>
  <c r="BP22" i="3"/>
  <c r="BP75" i="3"/>
  <c r="BP21" i="3"/>
  <c r="BP23" i="3"/>
  <c r="BP19" i="3"/>
  <c r="BP18" i="3"/>
  <c r="BP24" i="3"/>
  <c r="BP30" i="3"/>
  <c r="BP27" i="3"/>
  <c r="BP29" i="3"/>
  <c r="BP25" i="3"/>
  <c r="BP26" i="3"/>
  <c r="BP28" i="3"/>
  <c r="BP32" i="3"/>
  <c r="BP35" i="3"/>
  <c r="BP33" i="3"/>
  <c r="BP34" i="3"/>
  <c r="BP31" i="3"/>
  <c r="BP36" i="3"/>
  <c r="BP39" i="3"/>
  <c r="BP45" i="3"/>
  <c r="BP40" i="3"/>
  <c r="BP42" i="3"/>
  <c r="BP37" i="3"/>
  <c r="BP41" i="3"/>
  <c r="BP43" i="3"/>
  <c r="BP47" i="3"/>
  <c r="BP38" i="3"/>
  <c r="BP44" i="3"/>
  <c r="BP46" i="3"/>
  <c r="BP49" i="3"/>
  <c r="BP54" i="3"/>
  <c r="BP48" i="3"/>
  <c r="BP68" i="3"/>
  <c r="BP57" i="3"/>
  <c r="BP59" i="3"/>
  <c r="BP61" i="3"/>
  <c r="BP50" i="3"/>
  <c r="BP53" i="3"/>
  <c r="BP56" i="3"/>
  <c r="BP58" i="3"/>
  <c r="BP60" i="3"/>
  <c r="BP66" i="3"/>
  <c r="BP67" i="3"/>
  <c r="BP14" i="3"/>
  <c r="BP76" i="3"/>
  <c r="BP70" i="3"/>
  <c r="BP64" i="3"/>
  <c r="BP69" i="3"/>
  <c r="BP55" i="3"/>
  <c r="BP63" i="3"/>
  <c r="BP52" i="3"/>
  <c r="BP51" i="3"/>
  <c r="BP72" i="3"/>
  <c r="BP62" i="3"/>
  <c r="BP65" i="3"/>
  <c r="BP74" i="3"/>
  <c r="BP15" i="4"/>
  <c r="BP12" i="3"/>
  <c r="BQ13" i="3"/>
  <c r="BQ16" i="4"/>
  <c r="BQ67" i="3" l="1"/>
  <c r="BQ14" i="3"/>
  <c r="BQ19" i="3"/>
  <c r="BQ16" i="3"/>
  <c r="BQ17" i="3"/>
  <c r="BQ15" i="3"/>
  <c r="BQ21" i="3"/>
  <c r="BQ20" i="3"/>
  <c r="BQ18" i="3"/>
  <c r="BQ22" i="3"/>
  <c r="BQ23" i="3"/>
  <c r="BQ27" i="3"/>
  <c r="BQ24" i="3"/>
  <c r="BQ25" i="3"/>
  <c r="BQ29" i="3"/>
  <c r="BQ26" i="3"/>
  <c r="BQ28" i="3"/>
  <c r="BQ30" i="3"/>
  <c r="BQ32" i="3"/>
  <c r="BQ34" i="3"/>
  <c r="BQ36" i="3"/>
  <c r="BQ33" i="3"/>
  <c r="BQ35" i="3"/>
  <c r="BQ38" i="3"/>
  <c r="BQ41" i="3"/>
  <c r="BQ37" i="3"/>
  <c r="BQ31" i="3"/>
  <c r="BQ39" i="3"/>
  <c r="BQ42" i="3"/>
  <c r="BQ43" i="3"/>
  <c r="BQ47" i="3"/>
  <c r="BQ49" i="3"/>
  <c r="BQ51" i="3"/>
  <c r="BQ53" i="3"/>
  <c r="BQ55" i="3"/>
  <c r="BQ40" i="3"/>
  <c r="BQ48" i="3"/>
  <c r="BQ50" i="3"/>
  <c r="BQ52" i="3"/>
  <c r="BQ54" i="3"/>
  <c r="BQ45" i="3"/>
  <c r="BQ56" i="3"/>
  <c r="BQ58" i="3"/>
  <c r="BQ60" i="3"/>
  <c r="BQ62" i="3"/>
  <c r="BQ64" i="3"/>
  <c r="BQ72" i="3"/>
  <c r="BQ74" i="3"/>
  <c r="BQ44" i="3"/>
  <c r="BQ57" i="3"/>
  <c r="BQ59" i="3"/>
  <c r="BQ61" i="3"/>
  <c r="BQ63" i="3"/>
  <c r="BQ65" i="3"/>
  <c r="BQ71" i="3"/>
  <c r="BQ76" i="3"/>
  <c r="BQ69" i="3"/>
  <c r="BQ73" i="3"/>
  <c r="BQ66" i="3"/>
  <c r="BQ75" i="3"/>
  <c r="BQ68" i="3"/>
  <c r="BQ46" i="3"/>
  <c r="BQ70" i="3"/>
  <c r="BQ20" i="4"/>
  <c r="BQ24" i="4"/>
  <c r="BQ19" i="4"/>
  <c r="BQ27" i="4"/>
  <c r="BQ17" i="4"/>
  <c r="BQ26" i="4"/>
  <c r="BQ18" i="4"/>
  <c r="BQ22" i="4"/>
  <c r="BQ23" i="4"/>
  <c r="BQ28" i="4"/>
  <c r="BQ21" i="4"/>
  <c r="BQ25" i="4"/>
  <c r="BQ15" i="4"/>
  <c r="BQ12" i="3"/>
  <c r="BR13" i="3"/>
  <c r="BR16" i="4"/>
  <c r="BR20" i="4" l="1"/>
  <c r="BR22" i="4"/>
  <c r="BR24" i="4"/>
  <c r="BR23" i="4"/>
  <c r="BR19" i="4"/>
  <c r="BR17" i="4"/>
  <c r="BR25" i="4"/>
  <c r="BR27" i="4"/>
  <c r="BR28" i="4"/>
  <c r="BR18" i="4"/>
  <c r="BR21" i="4"/>
  <c r="BR26" i="4"/>
  <c r="BR17" i="3"/>
  <c r="BR16" i="3"/>
  <c r="BR18" i="3"/>
  <c r="BR15" i="3"/>
  <c r="BR20" i="3"/>
  <c r="BR22" i="3"/>
  <c r="BR19" i="3"/>
  <c r="BR21" i="3"/>
  <c r="BR24" i="3"/>
  <c r="BR26" i="3"/>
  <c r="BR23" i="3"/>
  <c r="BR25" i="3"/>
  <c r="BR27" i="3"/>
  <c r="BR31" i="3"/>
  <c r="BR40" i="3"/>
  <c r="BR42" i="3"/>
  <c r="BR30" i="3"/>
  <c r="BR29" i="3"/>
  <c r="BR32" i="3"/>
  <c r="BR28" i="3"/>
  <c r="BR43" i="3"/>
  <c r="BR45" i="3"/>
  <c r="BR33" i="3"/>
  <c r="BR44" i="3"/>
  <c r="BR46" i="3"/>
  <c r="BR36" i="3"/>
  <c r="BR38" i="3"/>
  <c r="BR41" i="3"/>
  <c r="BR35" i="3"/>
  <c r="BR52" i="3"/>
  <c r="BR48" i="3"/>
  <c r="BR34" i="3"/>
  <c r="BR37" i="3"/>
  <c r="BR39" i="3"/>
  <c r="BR51" i="3"/>
  <c r="BR50" i="3"/>
  <c r="BR53" i="3"/>
  <c r="BR47" i="3"/>
  <c r="BR49" i="3"/>
  <c r="BR55" i="3"/>
  <c r="BR61" i="3"/>
  <c r="BR65" i="3"/>
  <c r="BR54" i="3"/>
  <c r="BR59" i="3"/>
  <c r="BR64" i="3"/>
  <c r="BR57" i="3"/>
  <c r="BR62" i="3"/>
  <c r="BR69" i="3"/>
  <c r="BR73" i="3"/>
  <c r="BR58" i="3"/>
  <c r="BR70" i="3"/>
  <c r="BR63" i="3"/>
  <c r="BR71" i="3"/>
  <c r="BR72" i="3"/>
  <c r="BR56" i="3"/>
  <c r="BR14" i="3"/>
  <c r="BR76" i="3"/>
  <c r="BR74" i="3"/>
  <c r="BR66" i="3"/>
  <c r="BR67" i="3"/>
  <c r="BR75" i="3"/>
  <c r="BR60" i="3"/>
  <c r="BR68" i="3"/>
  <c r="BR15" i="4"/>
  <c r="BR12" i="3"/>
  <c r="BS13" i="3"/>
  <c r="BS16" i="4"/>
  <c r="BS22" i="4" l="1"/>
  <c r="BS27" i="4"/>
  <c r="BS23" i="4"/>
  <c r="BS25" i="4"/>
  <c r="BS18" i="4"/>
  <c r="BS26" i="4"/>
  <c r="BS28" i="4"/>
  <c r="BS20" i="4"/>
  <c r="BS24" i="4"/>
  <c r="BS19" i="4"/>
  <c r="BS17" i="4"/>
  <c r="BS21" i="4"/>
  <c r="BS15" i="3"/>
  <c r="BS17" i="3"/>
  <c r="BS16" i="3"/>
  <c r="BS19" i="3"/>
  <c r="BS18" i="3"/>
  <c r="BS20" i="3"/>
  <c r="BS23" i="3"/>
  <c r="BS24" i="3"/>
  <c r="BS22" i="3"/>
  <c r="BS29" i="3"/>
  <c r="BS31" i="3"/>
  <c r="BS21" i="3"/>
  <c r="BS33" i="3"/>
  <c r="BS28" i="3"/>
  <c r="BS30" i="3"/>
  <c r="BS32" i="3"/>
  <c r="BS27" i="3"/>
  <c r="BS25" i="3"/>
  <c r="BS34" i="3"/>
  <c r="BS37" i="3"/>
  <c r="BS39" i="3"/>
  <c r="BS35" i="3"/>
  <c r="BS26" i="3"/>
  <c r="BS36" i="3"/>
  <c r="BS38" i="3"/>
  <c r="BS40" i="3"/>
  <c r="BS56" i="3"/>
  <c r="BS58" i="3"/>
  <c r="BS60" i="3"/>
  <c r="BS62" i="3"/>
  <c r="BS64" i="3"/>
  <c r="BS46" i="3"/>
  <c r="BS43" i="3"/>
  <c r="BS45" i="3"/>
  <c r="BS47" i="3"/>
  <c r="BS49" i="3"/>
  <c r="BS51" i="3"/>
  <c r="BS42" i="3"/>
  <c r="BS44" i="3"/>
  <c r="BS41" i="3"/>
  <c r="BS48" i="3"/>
  <c r="BS50" i="3"/>
  <c r="BS52" i="3"/>
  <c r="BS57" i="3"/>
  <c r="BS66" i="3"/>
  <c r="BS68" i="3"/>
  <c r="BS70" i="3"/>
  <c r="BS61" i="3"/>
  <c r="BS65" i="3"/>
  <c r="BS67" i="3"/>
  <c r="BS69" i="3"/>
  <c r="BS53" i="3"/>
  <c r="BS59" i="3"/>
  <c r="BS63" i="3"/>
  <c r="BS55" i="3"/>
  <c r="BS54" i="3"/>
  <c r="BS14" i="3"/>
  <c r="BS71" i="3"/>
  <c r="BS72" i="3"/>
  <c r="BS74" i="3"/>
  <c r="BS76" i="3"/>
  <c r="BS75" i="3"/>
  <c r="BS73" i="3"/>
  <c r="BS15" i="4"/>
  <c r="BS12" i="3"/>
  <c r="BT13" i="3"/>
  <c r="BT16" i="4"/>
  <c r="BT17" i="4" l="1"/>
  <c r="BT28" i="4"/>
  <c r="BT25" i="4"/>
  <c r="BT24" i="4"/>
  <c r="BT23" i="4"/>
  <c r="BT27" i="4"/>
  <c r="BT20" i="4"/>
  <c r="BT19" i="4"/>
  <c r="BT22" i="4"/>
  <c r="BT21" i="4"/>
  <c r="BT26" i="4"/>
  <c r="BT18" i="4"/>
  <c r="BT74" i="3"/>
  <c r="BT68" i="3"/>
  <c r="BT76" i="3"/>
  <c r="BT15" i="3"/>
  <c r="BT19" i="3"/>
  <c r="BT70" i="3"/>
  <c r="BT17" i="3"/>
  <c r="BT18" i="3"/>
  <c r="BT20" i="3"/>
  <c r="BT16" i="3"/>
  <c r="BT23" i="3"/>
  <c r="BT22" i="3"/>
  <c r="BT72" i="3"/>
  <c r="BT21" i="3"/>
  <c r="BT24" i="3"/>
  <c r="BT25" i="3"/>
  <c r="BT28" i="3"/>
  <c r="BT26" i="3"/>
  <c r="BT27" i="3"/>
  <c r="BT34" i="3"/>
  <c r="BT29" i="3"/>
  <c r="BT31" i="3"/>
  <c r="BT33" i="3"/>
  <c r="BT32" i="3"/>
  <c r="BT30" i="3"/>
  <c r="BT41" i="3"/>
  <c r="BT43" i="3"/>
  <c r="BT39" i="3"/>
  <c r="BT36" i="3"/>
  <c r="BT38" i="3"/>
  <c r="BT35" i="3"/>
  <c r="BT40" i="3"/>
  <c r="BT42" i="3"/>
  <c r="BT37" i="3"/>
  <c r="BT44" i="3"/>
  <c r="BT54" i="3"/>
  <c r="BT46" i="3"/>
  <c r="BT47" i="3"/>
  <c r="BT52" i="3"/>
  <c r="BT56" i="3"/>
  <c r="BT58" i="3"/>
  <c r="BT60" i="3"/>
  <c r="BT55" i="3"/>
  <c r="BT51" i="3"/>
  <c r="BT50" i="3"/>
  <c r="BT57" i="3"/>
  <c r="BT59" i="3"/>
  <c r="BT45" i="3"/>
  <c r="BT49" i="3"/>
  <c r="BT53" i="3"/>
  <c r="BT63" i="3"/>
  <c r="BT67" i="3"/>
  <c r="BT66" i="3"/>
  <c r="BT71" i="3"/>
  <c r="BT62" i="3"/>
  <c r="BT69" i="3"/>
  <c r="BT61" i="3"/>
  <c r="BT65" i="3"/>
  <c r="BT48" i="3"/>
  <c r="BT64" i="3"/>
  <c r="BT73" i="3"/>
  <c r="BT14" i="3"/>
  <c r="BT75" i="3"/>
  <c r="BT15" i="4"/>
  <c r="BT12" i="3"/>
  <c r="BU13" i="3"/>
  <c r="BU16" i="4"/>
  <c r="BU16" i="3" l="1"/>
  <c r="BU15" i="3"/>
  <c r="BU18" i="3"/>
  <c r="BU21" i="3"/>
  <c r="BU17" i="3"/>
  <c r="BU20" i="3"/>
  <c r="BU19" i="3"/>
  <c r="BU23" i="3"/>
  <c r="BU25" i="3"/>
  <c r="BU26" i="3"/>
  <c r="BU24" i="3"/>
  <c r="BU28" i="3"/>
  <c r="BU30" i="3"/>
  <c r="BU32" i="3"/>
  <c r="BU22" i="3"/>
  <c r="BU29" i="3"/>
  <c r="BU31" i="3"/>
  <c r="BU33" i="3"/>
  <c r="BU35" i="3"/>
  <c r="BU27" i="3"/>
  <c r="BU34" i="3"/>
  <c r="BU36" i="3"/>
  <c r="BU37" i="3"/>
  <c r="BU39" i="3"/>
  <c r="BU45" i="3"/>
  <c r="BU42" i="3"/>
  <c r="BU46" i="3"/>
  <c r="BU47" i="3"/>
  <c r="BU49" i="3"/>
  <c r="BU51" i="3"/>
  <c r="BU53" i="3"/>
  <c r="BU55" i="3"/>
  <c r="BU38" i="3"/>
  <c r="BU41" i="3"/>
  <c r="BU48" i="3"/>
  <c r="BU50" i="3"/>
  <c r="BU52" i="3"/>
  <c r="BU54" i="3"/>
  <c r="BU40" i="3"/>
  <c r="BU43" i="3"/>
  <c r="BU44" i="3"/>
  <c r="BU66" i="3"/>
  <c r="BU56" i="3"/>
  <c r="BU58" i="3"/>
  <c r="BU60" i="3"/>
  <c r="BU62" i="3"/>
  <c r="BU64" i="3"/>
  <c r="BU68" i="3"/>
  <c r="BU57" i="3"/>
  <c r="BU59" i="3"/>
  <c r="BU61" i="3"/>
  <c r="BU63" i="3"/>
  <c r="BU65" i="3"/>
  <c r="BU74" i="3"/>
  <c r="BU71" i="3"/>
  <c r="BU76" i="3"/>
  <c r="BU67" i="3"/>
  <c r="BU70" i="3"/>
  <c r="BU73" i="3"/>
  <c r="BU69" i="3"/>
  <c r="BU72" i="3"/>
  <c r="BU75" i="3"/>
  <c r="BU14" i="3"/>
  <c r="BU20" i="4"/>
  <c r="BU24" i="4"/>
  <c r="BU26" i="4"/>
  <c r="BU28" i="4"/>
  <c r="BU19" i="4"/>
  <c r="BU18" i="4"/>
  <c r="BU21" i="4"/>
  <c r="BU22" i="4"/>
  <c r="BU25" i="4"/>
  <c r="BU27" i="4"/>
  <c r="BU23" i="4"/>
  <c r="BU17" i="4"/>
  <c r="BU15" i="4"/>
  <c r="BU12" i="3"/>
  <c r="BV13" i="3"/>
  <c r="BV16" i="4"/>
  <c r="BV27" i="4" l="1"/>
  <c r="BV26" i="4"/>
  <c r="BV17" i="4"/>
  <c r="BV22" i="4"/>
  <c r="BV19" i="4"/>
  <c r="BV25" i="4"/>
  <c r="BV23" i="4"/>
  <c r="BV20" i="4"/>
  <c r="BV24" i="4"/>
  <c r="BV28" i="4"/>
  <c r="BV18" i="4"/>
  <c r="BV21" i="4"/>
  <c r="BV16" i="3"/>
  <c r="BV15" i="3"/>
  <c r="BV19" i="3"/>
  <c r="BV18" i="3"/>
  <c r="BV23" i="3"/>
  <c r="BV20" i="3"/>
  <c r="BV22" i="3"/>
  <c r="BV17" i="3"/>
  <c r="BV21" i="3"/>
  <c r="BV25" i="3"/>
  <c r="BV27" i="3"/>
  <c r="BV24" i="3"/>
  <c r="BV26" i="3"/>
  <c r="BV38" i="3"/>
  <c r="BV32" i="3"/>
  <c r="BV41" i="3"/>
  <c r="BV39" i="3"/>
  <c r="BV34" i="3"/>
  <c r="BV40" i="3"/>
  <c r="BV43" i="3"/>
  <c r="BV45" i="3"/>
  <c r="BV29" i="3"/>
  <c r="BV42" i="3"/>
  <c r="BV30" i="3"/>
  <c r="BV31" i="3"/>
  <c r="BV44" i="3"/>
  <c r="BV46" i="3"/>
  <c r="BV28" i="3"/>
  <c r="BV33" i="3"/>
  <c r="BV37" i="3"/>
  <c r="BV47" i="3"/>
  <c r="BV35" i="3"/>
  <c r="BV36" i="3"/>
  <c r="BV48" i="3"/>
  <c r="BV49" i="3"/>
  <c r="BV54" i="3"/>
  <c r="BV52" i="3"/>
  <c r="BV51" i="3"/>
  <c r="BV50" i="3"/>
  <c r="BV70" i="3"/>
  <c r="BV74" i="3"/>
  <c r="BV58" i="3"/>
  <c r="BV57" i="3"/>
  <c r="BV73" i="3"/>
  <c r="BV64" i="3"/>
  <c r="BV72" i="3"/>
  <c r="BV75" i="3"/>
  <c r="BV63" i="3"/>
  <c r="BV66" i="3"/>
  <c r="BV62" i="3"/>
  <c r="BV14" i="3"/>
  <c r="BV76" i="3"/>
  <c r="BV60" i="3"/>
  <c r="BV53" i="3"/>
  <c r="BV59" i="3"/>
  <c r="BV68" i="3"/>
  <c r="BV71" i="3"/>
  <c r="BV55" i="3"/>
  <c r="BV61" i="3"/>
  <c r="BV65" i="3"/>
  <c r="BV56" i="3"/>
  <c r="BV69" i="3"/>
  <c r="BV67" i="3"/>
  <c r="BV15" i="4"/>
  <c r="BV12" i="3"/>
  <c r="BW13" i="3"/>
  <c r="BW16" i="4"/>
  <c r="BW18" i="4" l="1"/>
  <c r="BW28" i="4"/>
  <c r="BW20" i="4"/>
  <c r="BW26" i="4"/>
  <c r="BW23" i="4"/>
  <c r="BW22" i="4"/>
  <c r="BW25" i="4"/>
  <c r="BW21" i="4"/>
  <c r="BW27" i="4"/>
  <c r="BW19" i="4"/>
  <c r="BW24" i="4"/>
  <c r="BW17" i="4"/>
  <c r="BW18" i="3"/>
  <c r="BW17" i="3"/>
  <c r="BW15" i="3"/>
  <c r="BW24" i="3"/>
  <c r="BW22" i="3"/>
  <c r="BW23" i="3"/>
  <c r="BW16" i="3"/>
  <c r="BW20" i="3"/>
  <c r="BW21" i="3"/>
  <c r="BW19" i="3"/>
  <c r="BW26" i="3"/>
  <c r="BW34" i="3"/>
  <c r="BW27" i="3"/>
  <c r="BW29" i="3"/>
  <c r="BW31" i="3"/>
  <c r="BW25" i="3"/>
  <c r="BW28" i="3"/>
  <c r="BW30" i="3"/>
  <c r="BW32" i="3"/>
  <c r="BW36" i="3"/>
  <c r="BW38" i="3"/>
  <c r="BW33" i="3"/>
  <c r="BW37" i="3"/>
  <c r="BW39" i="3"/>
  <c r="BW35" i="3"/>
  <c r="BW40" i="3"/>
  <c r="BW45" i="3"/>
  <c r="BW48" i="3"/>
  <c r="BW50" i="3"/>
  <c r="BW52" i="3"/>
  <c r="BW55" i="3"/>
  <c r="BW42" i="3"/>
  <c r="BW46" i="3"/>
  <c r="BW56" i="3"/>
  <c r="BW58" i="3"/>
  <c r="BW60" i="3"/>
  <c r="BW47" i="3"/>
  <c r="BW49" i="3"/>
  <c r="BW51" i="3"/>
  <c r="BW53" i="3"/>
  <c r="BW57" i="3"/>
  <c r="BW59" i="3"/>
  <c r="BW63" i="3"/>
  <c r="BW62" i="3"/>
  <c r="BW66" i="3"/>
  <c r="BW68" i="3"/>
  <c r="BW70" i="3"/>
  <c r="BW41" i="3"/>
  <c r="BW44" i="3"/>
  <c r="BW64" i="3"/>
  <c r="BW54" i="3"/>
  <c r="BW61" i="3"/>
  <c r="BW65" i="3"/>
  <c r="BW67" i="3"/>
  <c r="BW69" i="3"/>
  <c r="BW72" i="3"/>
  <c r="BW74" i="3"/>
  <c r="BW76" i="3"/>
  <c r="BW71" i="3"/>
  <c r="BW73" i="3"/>
  <c r="BW75" i="3"/>
  <c r="BW14" i="3"/>
  <c r="BW43" i="3"/>
  <c r="BW15" i="4"/>
  <c r="BW12" i="3"/>
  <c r="BX13" i="3"/>
  <c r="BX16" i="4"/>
  <c r="BX26" i="4" l="1"/>
  <c r="BX27" i="4"/>
  <c r="BX22" i="4"/>
  <c r="BX21" i="4"/>
  <c r="BX25" i="4"/>
  <c r="BX28" i="4"/>
  <c r="BX19" i="4"/>
  <c r="BX17" i="4"/>
  <c r="BX18" i="4"/>
  <c r="BX20" i="4"/>
  <c r="BX24" i="4"/>
  <c r="BX23" i="4"/>
  <c r="BX16" i="3"/>
  <c r="BX76" i="3"/>
  <c r="BX72" i="3"/>
  <c r="BX74" i="3"/>
  <c r="BX15" i="3"/>
  <c r="BX17" i="3"/>
  <c r="BX21" i="3"/>
  <c r="BX23" i="3"/>
  <c r="BX20" i="3"/>
  <c r="BX22" i="3"/>
  <c r="BX19" i="3"/>
  <c r="BX18" i="3"/>
  <c r="BX24" i="3"/>
  <c r="BX25" i="3"/>
  <c r="BX28" i="3"/>
  <c r="BX30" i="3"/>
  <c r="BX29" i="3"/>
  <c r="BX27" i="3"/>
  <c r="BX36" i="3"/>
  <c r="BX31" i="3"/>
  <c r="BX34" i="3"/>
  <c r="BX26" i="3"/>
  <c r="BX33" i="3"/>
  <c r="BX32" i="3"/>
  <c r="BX35" i="3"/>
  <c r="BX39" i="3"/>
  <c r="BX46" i="3"/>
  <c r="BX41" i="3"/>
  <c r="BX43" i="3"/>
  <c r="BX38" i="3"/>
  <c r="BX40" i="3"/>
  <c r="BX42" i="3"/>
  <c r="BX44" i="3"/>
  <c r="BX48" i="3"/>
  <c r="BX45" i="3"/>
  <c r="BX55" i="3"/>
  <c r="BX69" i="3"/>
  <c r="BX56" i="3"/>
  <c r="BX58" i="3"/>
  <c r="BX60" i="3"/>
  <c r="BX47" i="3"/>
  <c r="BX51" i="3"/>
  <c r="BX37" i="3"/>
  <c r="BX53" i="3"/>
  <c r="BX57" i="3"/>
  <c r="BX59" i="3"/>
  <c r="BX54" i="3"/>
  <c r="BX67" i="3"/>
  <c r="BX65" i="3"/>
  <c r="BX49" i="3"/>
  <c r="BX68" i="3"/>
  <c r="BX52" i="3"/>
  <c r="BX63" i="3"/>
  <c r="BX73" i="3"/>
  <c r="BX62" i="3"/>
  <c r="BX61" i="3"/>
  <c r="BX70" i="3"/>
  <c r="BX50" i="3"/>
  <c r="BX66" i="3"/>
  <c r="BX14" i="3"/>
  <c r="BX71" i="3"/>
  <c r="BX75" i="3"/>
  <c r="BX64" i="3"/>
  <c r="BX15" i="4"/>
  <c r="BX12" i="3"/>
  <c r="BY13" i="3"/>
  <c r="BY16" i="4"/>
  <c r="BY25" i="4" l="1"/>
  <c r="BY28" i="4"/>
  <c r="BY27" i="4"/>
  <c r="BY19" i="4"/>
  <c r="BY18" i="4"/>
  <c r="BY23" i="4"/>
  <c r="BY26" i="4"/>
  <c r="BY21" i="4"/>
  <c r="BY17" i="4"/>
  <c r="BY20" i="4"/>
  <c r="BY22" i="4"/>
  <c r="BY24" i="4"/>
  <c r="BY17" i="3"/>
  <c r="BY16" i="3"/>
  <c r="BY68" i="3"/>
  <c r="BY15" i="3"/>
  <c r="BY19" i="3"/>
  <c r="BY18" i="3"/>
  <c r="BY21" i="3"/>
  <c r="BY20" i="3"/>
  <c r="BY22" i="3"/>
  <c r="BY23" i="3"/>
  <c r="BY28" i="3"/>
  <c r="BY30" i="3"/>
  <c r="BY25" i="3"/>
  <c r="BY26" i="3"/>
  <c r="BY27" i="3"/>
  <c r="BY29" i="3"/>
  <c r="BY33" i="3"/>
  <c r="BY35" i="3"/>
  <c r="BY31" i="3"/>
  <c r="BY34" i="3"/>
  <c r="BY36" i="3"/>
  <c r="BY24" i="3"/>
  <c r="BY37" i="3"/>
  <c r="BY42" i="3"/>
  <c r="BY32" i="3"/>
  <c r="BY41" i="3"/>
  <c r="BY39" i="3"/>
  <c r="BY38" i="3"/>
  <c r="BY48" i="3"/>
  <c r="BY50" i="3"/>
  <c r="BY52" i="3"/>
  <c r="BY54" i="3"/>
  <c r="BY43" i="3"/>
  <c r="BY47" i="3"/>
  <c r="BY49" i="3"/>
  <c r="BY51" i="3"/>
  <c r="BY53" i="3"/>
  <c r="BY55" i="3"/>
  <c r="BY44" i="3"/>
  <c r="BY46" i="3"/>
  <c r="BY45" i="3"/>
  <c r="BY57" i="3"/>
  <c r="BY59" i="3"/>
  <c r="BY61" i="3"/>
  <c r="BY63" i="3"/>
  <c r="BY65" i="3"/>
  <c r="BY71" i="3"/>
  <c r="BY73" i="3"/>
  <c r="BY56" i="3"/>
  <c r="BY58" i="3"/>
  <c r="BY60" i="3"/>
  <c r="BY62" i="3"/>
  <c r="BY64" i="3"/>
  <c r="BY72" i="3"/>
  <c r="BY75" i="3"/>
  <c r="BY74" i="3"/>
  <c r="BY66" i="3"/>
  <c r="BY67" i="3"/>
  <c r="BY76" i="3"/>
  <c r="BY69" i="3"/>
  <c r="BY40" i="3"/>
  <c r="BY70" i="3"/>
  <c r="BY14" i="3"/>
  <c r="BY15" i="4"/>
  <c r="BY12" i="3"/>
  <c r="BZ13" i="3"/>
  <c r="BZ16" i="4"/>
  <c r="BZ20" i="4" l="1"/>
  <c r="BZ18" i="4"/>
  <c r="BZ21" i="4"/>
  <c r="BZ27" i="4"/>
  <c r="BZ28" i="4"/>
  <c r="BZ23" i="4"/>
  <c r="BZ17" i="4"/>
  <c r="BZ26" i="4"/>
  <c r="BZ22" i="4"/>
  <c r="BZ25" i="4"/>
  <c r="BZ19" i="4"/>
  <c r="BZ24" i="4"/>
  <c r="BZ19" i="3"/>
  <c r="BZ16" i="3"/>
  <c r="BZ21" i="3"/>
  <c r="BZ17" i="3"/>
  <c r="BZ18" i="3"/>
  <c r="BZ20" i="3"/>
  <c r="BZ15" i="3"/>
  <c r="BZ25" i="3"/>
  <c r="BZ22" i="3"/>
  <c r="BZ24" i="3"/>
  <c r="BZ26" i="3"/>
  <c r="BZ28" i="3"/>
  <c r="BZ32" i="3"/>
  <c r="BZ23" i="3"/>
  <c r="BZ27" i="3"/>
  <c r="BZ41" i="3"/>
  <c r="BZ31" i="3"/>
  <c r="BZ30" i="3"/>
  <c r="BZ29" i="3"/>
  <c r="BZ44" i="3"/>
  <c r="BZ46" i="3"/>
  <c r="BZ34" i="3"/>
  <c r="BZ35" i="3"/>
  <c r="BZ37" i="3"/>
  <c r="BZ40" i="3"/>
  <c r="BZ43" i="3"/>
  <c r="BZ45" i="3"/>
  <c r="BZ39" i="3"/>
  <c r="BZ42" i="3"/>
  <c r="BZ36" i="3"/>
  <c r="BZ49" i="3"/>
  <c r="BZ47" i="3"/>
  <c r="BZ52" i="3"/>
  <c r="BZ51" i="3"/>
  <c r="BZ54" i="3"/>
  <c r="BZ48" i="3"/>
  <c r="BZ38" i="3"/>
  <c r="BZ50" i="3"/>
  <c r="BZ53" i="3"/>
  <c r="BZ62" i="3"/>
  <c r="BZ55" i="3"/>
  <c r="BZ60" i="3"/>
  <c r="BZ61" i="3"/>
  <c r="BZ65" i="3"/>
  <c r="BZ66" i="3"/>
  <c r="BZ58" i="3"/>
  <c r="BZ56" i="3"/>
  <c r="BZ63" i="3"/>
  <c r="BZ14" i="3"/>
  <c r="BZ75" i="3"/>
  <c r="BZ76" i="3"/>
  <c r="BZ59" i="3"/>
  <c r="BZ64" i="3"/>
  <c r="BZ68" i="3"/>
  <c r="BZ73" i="3"/>
  <c r="BZ74" i="3"/>
  <c r="BZ33" i="3"/>
  <c r="BZ57" i="3"/>
  <c r="BZ71" i="3"/>
  <c r="BZ72" i="3"/>
  <c r="BZ67" i="3"/>
  <c r="BZ70" i="3"/>
  <c r="BZ69" i="3"/>
  <c r="BZ15" i="4"/>
  <c r="BZ12" i="3"/>
  <c r="CA13" i="3"/>
  <c r="CA16" i="4"/>
  <c r="CA23" i="4" l="1"/>
  <c r="CA19" i="4"/>
  <c r="CA21" i="4"/>
  <c r="CA28" i="4"/>
  <c r="CA20" i="4"/>
  <c r="CA26" i="4"/>
  <c r="CA22" i="4"/>
  <c r="CA27" i="4"/>
  <c r="CA17" i="4"/>
  <c r="CA18" i="4"/>
  <c r="CA25" i="4"/>
  <c r="CA24" i="4"/>
  <c r="CA16" i="3"/>
  <c r="CA18" i="3"/>
  <c r="CA15" i="3"/>
  <c r="CA17" i="3"/>
  <c r="CA19" i="3"/>
  <c r="CA23" i="3"/>
  <c r="CA22" i="3"/>
  <c r="CA21" i="3"/>
  <c r="CA24" i="3"/>
  <c r="CA20" i="3"/>
  <c r="CA28" i="3"/>
  <c r="CA30" i="3"/>
  <c r="CA32" i="3"/>
  <c r="CA26" i="3"/>
  <c r="CA27" i="3"/>
  <c r="CA29" i="3"/>
  <c r="CA31" i="3"/>
  <c r="CA33" i="3"/>
  <c r="CA35" i="3"/>
  <c r="CA25" i="3"/>
  <c r="CA34" i="3"/>
  <c r="CA36" i="3"/>
  <c r="CA38" i="3"/>
  <c r="CA37" i="3"/>
  <c r="CA39" i="3"/>
  <c r="CA40" i="3"/>
  <c r="CA41" i="3"/>
  <c r="CA44" i="3"/>
  <c r="CA57" i="3"/>
  <c r="CA59" i="3"/>
  <c r="CA61" i="3"/>
  <c r="CA63" i="3"/>
  <c r="CA45" i="3"/>
  <c r="CA46" i="3"/>
  <c r="CA48" i="3"/>
  <c r="CA50" i="3"/>
  <c r="CA52" i="3"/>
  <c r="CA43" i="3"/>
  <c r="CA42" i="3"/>
  <c r="CA47" i="3"/>
  <c r="CA49" i="3"/>
  <c r="CA51" i="3"/>
  <c r="CA58" i="3"/>
  <c r="CA65" i="3"/>
  <c r="CA67" i="3"/>
  <c r="CA69" i="3"/>
  <c r="CA56" i="3"/>
  <c r="CA62" i="3"/>
  <c r="CA66" i="3"/>
  <c r="CA68" i="3"/>
  <c r="CA70" i="3"/>
  <c r="CA54" i="3"/>
  <c r="CA60" i="3"/>
  <c r="CA64" i="3"/>
  <c r="CA53" i="3"/>
  <c r="CA72" i="3"/>
  <c r="CA14" i="3"/>
  <c r="CA55" i="3"/>
  <c r="CA71" i="3"/>
  <c r="CA73" i="3"/>
  <c r="CA75" i="3"/>
  <c r="CA76" i="3"/>
  <c r="CA74" i="3"/>
  <c r="CA15" i="4"/>
  <c r="CA12" i="3"/>
  <c r="CB13" i="3"/>
  <c r="CB16" i="4"/>
  <c r="CB23" i="4" l="1"/>
  <c r="CB26" i="4"/>
  <c r="CB22" i="4"/>
  <c r="CB27" i="4"/>
  <c r="CB28" i="4"/>
  <c r="CB17" i="4"/>
  <c r="CB25" i="4"/>
  <c r="CB19" i="4"/>
  <c r="CB20" i="4"/>
  <c r="CB18" i="4"/>
  <c r="CB21" i="4"/>
  <c r="CB24" i="4"/>
  <c r="CB75" i="3"/>
  <c r="CB71" i="3"/>
  <c r="CB69" i="3"/>
  <c r="CB15" i="3"/>
  <c r="CB16" i="3"/>
  <c r="CB18" i="3"/>
  <c r="CB73" i="3"/>
  <c r="CB19" i="3"/>
  <c r="CB21" i="3"/>
  <c r="CB17" i="3"/>
  <c r="CB20" i="3"/>
  <c r="CB23" i="3"/>
  <c r="CB22" i="3"/>
  <c r="CB25" i="3"/>
  <c r="CB27" i="3"/>
  <c r="CB24" i="3"/>
  <c r="CB26" i="3"/>
  <c r="CB28" i="3"/>
  <c r="CB33" i="3"/>
  <c r="CB30" i="3"/>
  <c r="CB29" i="3"/>
  <c r="CB32" i="3"/>
  <c r="CB34" i="3"/>
  <c r="CB37" i="3"/>
  <c r="CB40" i="3"/>
  <c r="CB42" i="3"/>
  <c r="CB38" i="3"/>
  <c r="CB39" i="3"/>
  <c r="CB36" i="3"/>
  <c r="CB41" i="3"/>
  <c r="CB43" i="3"/>
  <c r="CB35" i="3"/>
  <c r="CB31" i="3"/>
  <c r="CB53" i="3"/>
  <c r="CB45" i="3"/>
  <c r="CB55" i="3"/>
  <c r="CB44" i="3"/>
  <c r="CB48" i="3"/>
  <c r="CB49" i="3"/>
  <c r="CB57" i="3"/>
  <c r="CB59" i="3"/>
  <c r="CB46" i="3"/>
  <c r="CB52" i="3"/>
  <c r="CB51" i="3"/>
  <c r="CB56" i="3"/>
  <c r="CB58" i="3"/>
  <c r="CB60" i="3"/>
  <c r="CB50" i="3"/>
  <c r="CB54" i="3"/>
  <c r="CB47" i="3"/>
  <c r="CB64" i="3"/>
  <c r="CB68" i="3"/>
  <c r="CB70" i="3"/>
  <c r="CB67" i="3"/>
  <c r="CB72" i="3"/>
  <c r="CB63" i="3"/>
  <c r="CB62" i="3"/>
  <c r="CB61" i="3"/>
  <c r="CB65" i="3"/>
  <c r="CB66" i="3"/>
  <c r="CB14" i="3"/>
  <c r="CB74" i="3"/>
  <c r="CB76" i="3"/>
  <c r="CB15" i="4"/>
  <c r="CB12" i="3"/>
  <c r="CC13" i="3"/>
  <c r="CC16" i="4"/>
  <c r="CC23" i="4" l="1"/>
  <c r="CC28" i="4"/>
  <c r="CC27" i="4"/>
  <c r="CC24" i="4"/>
  <c r="CC17" i="4"/>
  <c r="CC26" i="4"/>
  <c r="CC20" i="4"/>
  <c r="CC19" i="4"/>
  <c r="CC21" i="4"/>
  <c r="CC18" i="4"/>
  <c r="CC22" i="4"/>
  <c r="CC25" i="4"/>
  <c r="CC15" i="3"/>
  <c r="CC14" i="3"/>
  <c r="CC16" i="3"/>
  <c r="CC20" i="3"/>
  <c r="CC21" i="3"/>
  <c r="CC18" i="3"/>
  <c r="CC19" i="3"/>
  <c r="CC17" i="3"/>
  <c r="CC23" i="3"/>
  <c r="CC27" i="3"/>
  <c r="CC29" i="3"/>
  <c r="CC26" i="3"/>
  <c r="CC25" i="3"/>
  <c r="CC22" i="3"/>
  <c r="CC28" i="3"/>
  <c r="CC30" i="3"/>
  <c r="CC24" i="3"/>
  <c r="CC31" i="3"/>
  <c r="CC32" i="3"/>
  <c r="CC34" i="3"/>
  <c r="CC36" i="3"/>
  <c r="CC33" i="3"/>
  <c r="CC35" i="3"/>
  <c r="CC38" i="3"/>
  <c r="CC44" i="3"/>
  <c r="CC37" i="3"/>
  <c r="CC40" i="3"/>
  <c r="CC43" i="3"/>
  <c r="CC48" i="3"/>
  <c r="CC50" i="3"/>
  <c r="CC52" i="3"/>
  <c r="CC54" i="3"/>
  <c r="CC42" i="3"/>
  <c r="CC46" i="3"/>
  <c r="CC41" i="3"/>
  <c r="CC47" i="3"/>
  <c r="CC49" i="3"/>
  <c r="CC51" i="3"/>
  <c r="CC53" i="3"/>
  <c r="CC55" i="3"/>
  <c r="CC39" i="3"/>
  <c r="CC45" i="3"/>
  <c r="CC67" i="3"/>
  <c r="CC57" i="3"/>
  <c r="CC59" i="3"/>
  <c r="CC61" i="3"/>
  <c r="CC63" i="3"/>
  <c r="CC65" i="3"/>
  <c r="CC69" i="3"/>
  <c r="CC56" i="3"/>
  <c r="CC58" i="3"/>
  <c r="CC60" i="3"/>
  <c r="CC62" i="3"/>
  <c r="CC64" i="3"/>
  <c r="CC66" i="3"/>
  <c r="CC72" i="3"/>
  <c r="CC75" i="3"/>
  <c r="CC68" i="3"/>
  <c r="CC71" i="3"/>
  <c r="CC74" i="3"/>
  <c r="CC70" i="3"/>
  <c r="CC73" i="3"/>
  <c r="CC76" i="3"/>
  <c r="CC15" i="4"/>
  <c r="CC12" i="3"/>
  <c r="CD13" i="3"/>
  <c r="CD16" i="4"/>
  <c r="CD18" i="4" l="1"/>
  <c r="CD23" i="4"/>
  <c r="CD25" i="4"/>
  <c r="CD17" i="4"/>
  <c r="CD21" i="4"/>
  <c r="CD20" i="4"/>
  <c r="CD28" i="4"/>
  <c r="CD24" i="4"/>
  <c r="CD27" i="4"/>
  <c r="CD19" i="4"/>
  <c r="CD22" i="4"/>
  <c r="CD26" i="4"/>
  <c r="CD15" i="3"/>
  <c r="CD16" i="3"/>
  <c r="CD18" i="3"/>
  <c r="CD17" i="3"/>
  <c r="CD19" i="3"/>
  <c r="CD21" i="3"/>
  <c r="CD20" i="3"/>
  <c r="CD22" i="3"/>
  <c r="CD24" i="3"/>
  <c r="CD26" i="3"/>
  <c r="CD23" i="3"/>
  <c r="CD25" i="3"/>
  <c r="CD31" i="3"/>
  <c r="CD39" i="3"/>
  <c r="CD28" i="3"/>
  <c r="CD33" i="3"/>
  <c r="CD37" i="3"/>
  <c r="CD42" i="3"/>
  <c r="CD27" i="3"/>
  <c r="CD32" i="3"/>
  <c r="CD41" i="3"/>
  <c r="CD44" i="3"/>
  <c r="CD30" i="3"/>
  <c r="CD40" i="3"/>
  <c r="CD43" i="3"/>
  <c r="CD45" i="3"/>
  <c r="CD34" i="3"/>
  <c r="CD38" i="3"/>
  <c r="CD29" i="3"/>
  <c r="CD46" i="3"/>
  <c r="CD48" i="3"/>
  <c r="CD36" i="3"/>
  <c r="CD35" i="3"/>
  <c r="CD47" i="3"/>
  <c r="CD53" i="3"/>
  <c r="CD50" i="3"/>
  <c r="CD55" i="3"/>
  <c r="CD49" i="3"/>
  <c r="CD52" i="3"/>
  <c r="CD51" i="3"/>
  <c r="CD76" i="3"/>
  <c r="CD59" i="3"/>
  <c r="CD58" i="3"/>
  <c r="CD71" i="3"/>
  <c r="CD61" i="3"/>
  <c r="CD65" i="3"/>
  <c r="CD14" i="3"/>
  <c r="CD75" i="3"/>
  <c r="CD54" i="3"/>
  <c r="CD56" i="3"/>
  <c r="CD64" i="3"/>
  <c r="CD73" i="3"/>
  <c r="CD67" i="3"/>
  <c r="CD72" i="3"/>
  <c r="CD57" i="3"/>
  <c r="CD63" i="3"/>
  <c r="CD60" i="3"/>
  <c r="CD69" i="3"/>
  <c r="CD74" i="3"/>
  <c r="CD62" i="3"/>
  <c r="CD68" i="3"/>
  <c r="CD66" i="3"/>
  <c r="CD70" i="3"/>
  <c r="CD15" i="4"/>
  <c r="CD12" i="3"/>
  <c r="CE13" i="3"/>
  <c r="CE16" i="4"/>
  <c r="CE24" i="4" l="1"/>
  <c r="CE23" i="4"/>
  <c r="CE17" i="4"/>
  <c r="CE28" i="4"/>
  <c r="CE27" i="4"/>
  <c r="CE21" i="4"/>
  <c r="CE26" i="4"/>
  <c r="CE18" i="4"/>
  <c r="CE22" i="4"/>
  <c r="CE19" i="4"/>
  <c r="CE25" i="4"/>
  <c r="CE20" i="4"/>
  <c r="CE17" i="3"/>
  <c r="CE15" i="3"/>
  <c r="CE18" i="3"/>
  <c r="CE20" i="3"/>
  <c r="CE16" i="3"/>
  <c r="CE19" i="3"/>
  <c r="CE22" i="3"/>
  <c r="CE24" i="3"/>
  <c r="CE21" i="3"/>
  <c r="CE26" i="3"/>
  <c r="CE33" i="3"/>
  <c r="CE35" i="3"/>
  <c r="CE28" i="3"/>
  <c r="CE30" i="3"/>
  <c r="CE23" i="3"/>
  <c r="CE27" i="3"/>
  <c r="CE29" i="3"/>
  <c r="CE31" i="3"/>
  <c r="CE25" i="3"/>
  <c r="CE37" i="3"/>
  <c r="CE39" i="3"/>
  <c r="CE34" i="3"/>
  <c r="CE36" i="3"/>
  <c r="CE38" i="3"/>
  <c r="CE32" i="3"/>
  <c r="CE40" i="3"/>
  <c r="CE47" i="3"/>
  <c r="CE49" i="3"/>
  <c r="CE51" i="3"/>
  <c r="CE43" i="3"/>
  <c r="CE57" i="3"/>
  <c r="CE59" i="3"/>
  <c r="CE46" i="3"/>
  <c r="CE48" i="3"/>
  <c r="CE50" i="3"/>
  <c r="CE52" i="3"/>
  <c r="CE44" i="3"/>
  <c r="CE54" i="3"/>
  <c r="CE56" i="3"/>
  <c r="CE58" i="3"/>
  <c r="CE60" i="3"/>
  <c r="CE61" i="3"/>
  <c r="CE64" i="3"/>
  <c r="CE63" i="3"/>
  <c r="CE65" i="3"/>
  <c r="CE67" i="3"/>
  <c r="CE69" i="3"/>
  <c r="CE42" i="3"/>
  <c r="CE53" i="3"/>
  <c r="CE41" i="3"/>
  <c r="CE55" i="3"/>
  <c r="CE62" i="3"/>
  <c r="CE66" i="3"/>
  <c r="CE68" i="3"/>
  <c r="CE70" i="3"/>
  <c r="CE71" i="3"/>
  <c r="CE73" i="3"/>
  <c r="CE75" i="3"/>
  <c r="CE45" i="3"/>
  <c r="CE72" i="3"/>
  <c r="CE74" i="3"/>
  <c r="CE14" i="3"/>
  <c r="CE76" i="3"/>
  <c r="CE15" i="4"/>
  <c r="CE12" i="3"/>
  <c r="CF13" i="3"/>
  <c r="CF16" i="4"/>
  <c r="CF26" i="4" l="1"/>
  <c r="CF27" i="4"/>
  <c r="CF21" i="4"/>
  <c r="CF23" i="4"/>
  <c r="CF22" i="4"/>
  <c r="CF20" i="4"/>
  <c r="CF17" i="4"/>
  <c r="CF28" i="4"/>
  <c r="CF18" i="4"/>
  <c r="CF19" i="4"/>
  <c r="CF25" i="4"/>
  <c r="CF24" i="4"/>
  <c r="CF73" i="3"/>
  <c r="CF75" i="3"/>
  <c r="CF15" i="3"/>
  <c r="CF17" i="3"/>
  <c r="CF16" i="3"/>
  <c r="CF20" i="3"/>
  <c r="CF22" i="3"/>
  <c r="CF19" i="3"/>
  <c r="CF21" i="3"/>
  <c r="CF23" i="3"/>
  <c r="CF18" i="3"/>
  <c r="CF24" i="3"/>
  <c r="CF27" i="3"/>
  <c r="CF25" i="3"/>
  <c r="CF26" i="3"/>
  <c r="CF30" i="3"/>
  <c r="CF28" i="3"/>
  <c r="CF29" i="3"/>
  <c r="CF33" i="3"/>
  <c r="CF31" i="3"/>
  <c r="CF35" i="3"/>
  <c r="CF32" i="3"/>
  <c r="CF34" i="3"/>
  <c r="CF36" i="3"/>
  <c r="CF40" i="3"/>
  <c r="CF42" i="3"/>
  <c r="CF37" i="3"/>
  <c r="CF39" i="3"/>
  <c r="CF41" i="3"/>
  <c r="CF43" i="3"/>
  <c r="CF44" i="3"/>
  <c r="CF47" i="3"/>
  <c r="CF45" i="3"/>
  <c r="CF70" i="3"/>
  <c r="CF57" i="3"/>
  <c r="CF59" i="3"/>
  <c r="CF48" i="3"/>
  <c r="CF52" i="3"/>
  <c r="CF55" i="3"/>
  <c r="CF46" i="3"/>
  <c r="CF54" i="3"/>
  <c r="CF56" i="3"/>
  <c r="CF58" i="3"/>
  <c r="CF60" i="3"/>
  <c r="CF68" i="3"/>
  <c r="CF63" i="3"/>
  <c r="CF50" i="3"/>
  <c r="CF69" i="3"/>
  <c r="CF14" i="3"/>
  <c r="CF66" i="3"/>
  <c r="CF49" i="3"/>
  <c r="CF53" i="3"/>
  <c r="CF64" i="3"/>
  <c r="CF61" i="3"/>
  <c r="CF51" i="3"/>
  <c r="CF65" i="3"/>
  <c r="CF38" i="3"/>
  <c r="CF67" i="3"/>
  <c r="CF62" i="3"/>
  <c r="CF72" i="3"/>
  <c r="CF76" i="3"/>
  <c r="CF74" i="3"/>
  <c r="CF71" i="3"/>
  <c r="CF15" i="4"/>
  <c r="CF12" i="3"/>
  <c r="CG13" i="3"/>
  <c r="CG16" i="4"/>
  <c r="CG21" i="4" l="1"/>
  <c r="CG23" i="4"/>
  <c r="CG28" i="4"/>
  <c r="CG26" i="4"/>
  <c r="CG20" i="4"/>
  <c r="CG19" i="4"/>
  <c r="CG24" i="4"/>
  <c r="CG27" i="4"/>
  <c r="CG22" i="4"/>
  <c r="CG18" i="4"/>
  <c r="CG25" i="4"/>
  <c r="CG17" i="4"/>
  <c r="CG67" i="3"/>
  <c r="CG15" i="3"/>
  <c r="CG14" i="3"/>
  <c r="CG16" i="3"/>
  <c r="CG20" i="3"/>
  <c r="CG19" i="3"/>
  <c r="CG21" i="3"/>
  <c r="CG17" i="3"/>
  <c r="CG18" i="3"/>
  <c r="CG22" i="3"/>
  <c r="CG23" i="3"/>
  <c r="CG24" i="3"/>
  <c r="CG27" i="3"/>
  <c r="CG29" i="3"/>
  <c r="CG26" i="3"/>
  <c r="CG25" i="3"/>
  <c r="CG28" i="3"/>
  <c r="CG30" i="3"/>
  <c r="CG32" i="3"/>
  <c r="CG34" i="3"/>
  <c r="CG36" i="3"/>
  <c r="CG31" i="3"/>
  <c r="CG33" i="3"/>
  <c r="CG35" i="3"/>
  <c r="CG43" i="3"/>
  <c r="CG37" i="3"/>
  <c r="CG42" i="3"/>
  <c r="CG38" i="3"/>
  <c r="CG39" i="3"/>
  <c r="CG41" i="3"/>
  <c r="CG47" i="3"/>
  <c r="CG49" i="3"/>
  <c r="CG51" i="3"/>
  <c r="CG53" i="3"/>
  <c r="CG55" i="3"/>
  <c r="CG48" i="3"/>
  <c r="CG50" i="3"/>
  <c r="CG52" i="3"/>
  <c r="CG54" i="3"/>
  <c r="CG40" i="3"/>
  <c r="CG45" i="3"/>
  <c r="CG46" i="3"/>
  <c r="CG56" i="3"/>
  <c r="CG58" i="3"/>
  <c r="CG60" i="3"/>
  <c r="CG62" i="3"/>
  <c r="CG64" i="3"/>
  <c r="CG72" i="3"/>
  <c r="CG74" i="3"/>
  <c r="CG44" i="3"/>
  <c r="CG57" i="3"/>
  <c r="CG59" i="3"/>
  <c r="CG61" i="3"/>
  <c r="CG63" i="3"/>
  <c r="CG65" i="3"/>
  <c r="CG73" i="3"/>
  <c r="CG76" i="3"/>
  <c r="CG66" i="3"/>
  <c r="CG68" i="3"/>
  <c r="CG70" i="3"/>
  <c r="CG75" i="3"/>
  <c r="CG71" i="3"/>
  <c r="CG69" i="3"/>
  <c r="CG15" i="4"/>
  <c r="CG12" i="3"/>
  <c r="CH13" i="3"/>
  <c r="CH16" i="4"/>
  <c r="CH26" i="4" l="1"/>
  <c r="CH21" i="4"/>
  <c r="CH22" i="4"/>
  <c r="CH28" i="4"/>
  <c r="CH24" i="4"/>
  <c r="CH18" i="4"/>
  <c r="CH19" i="4"/>
  <c r="CH23" i="4"/>
  <c r="CH27" i="4"/>
  <c r="CH17" i="4"/>
  <c r="CH25" i="4"/>
  <c r="CH20" i="4"/>
  <c r="CH15" i="3"/>
  <c r="CH17" i="3"/>
  <c r="CH18" i="3"/>
  <c r="CH20" i="3"/>
  <c r="CH22" i="3"/>
  <c r="CH19" i="3"/>
  <c r="CH21" i="3"/>
  <c r="CH16" i="3"/>
  <c r="CH23" i="3"/>
  <c r="CH24" i="3"/>
  <c r="CH26" i="3"/>
  <c r="CH25" i="3"/>
  <c r="CH31" i="3"/>
  <c r="CH27" i="3"/>
  <c r="CH29" i="3"/>
  <c r="CH28" i="3"/>
  <c r="CH40" i="3"/>
  <c r="CH42" i="3"/>
  <c r="CH30" i="3"/>
  <c r="CH43" i="3"/>
  <c r="CH45" i="3"/>
  <c r="CH36" i="3"/>
  <c r="CH33" i="3"/>
  <c r="CH35" i="3"/>
  <c r="CH38" i="3"/>
  <c r="CH32" i="3"/>
  <c r="CH41" i="3"/>
  <c r="CH44" i="3"/>
  <c r="CH37" i="3"/>
  <c r="CH50" i="3"/>
  <c r="CH46" i="3"/>
  <c r="CH48" i="3"/>
  <c r="CH39" i="3"/>
  <c r="CH49" i="3"/>
  <c r="CH53" i="3"/>
  <c r="CH52" i="3"/>
  <c r="CH55" i="3"/>
  <c r="CH47" i="3"/>
  <c r="CH51" i="3"/>
  <c r="CH54" i="3"/>
  <c r="CH63" i="3"/>
  <c r="CH62" i="3"/>
  <c r="CH67" i="3"/>
  <c r="CH34" i="3"/>
  <c r="CH57" i="3"/>
  <c r="CH64" i="3"/>
  <c r="CH60" i="3"/>
  <c r="CH65" i="3"/>
  <c r="CH76" i="3"/>
  <c r="CH73" i="3"/>
  <c r="CH58" i="3"/>
  <c r="CH66" i="3"/>
  <c r="CH59" i="3"/>
  <c r="CH61" i="3"/>
  <c r="CH14" i="3"/>
  <c r="CH74" i="3"/>
  <c r="CH75" i="3"/>
  <c r="CH56" i="3"/>
  <c r="CH68" i="3"/>
  <c r="CH69" i="3"/>
  <c r="CH71" i="3"/>
  <c r="CH72" i="3"/>
  <c r="CH70" i="3"/>
  <c r="CH15" i="4"/>
  <c r="CH12" i="3"/>
  <c r="CI13" i="3"/>
  <c r="CI16" i="4"/>
  <c r="CI24" i="4" l="1"/>
  <c r="CI19" i="4"/>
  <c r="CI28" i="4"/>
  <c r="CI22" i="4"/>
  <c r="CI27" i="4"/>
  <c r="CI26" i="4"/>
  <c r="CI21" i="4"/>
  <c r="CI20" i="4"/>
  <c r="CI17" i="4"/>
  <c r="CI23" i="4"/>
  <c r="CI25" i="4"/>
  <c r="CI18" i="4"/>
  <c r="CI19" i="3"/>
  <c r="CI15" i="3"/>
  <c r="CI17" i="3"/>
  <c r="CI16" i="3"/>
  <c r="CI18" i="3"/>
  <c r="CI22" i="3"/>
  <c r="CI23" i="3"/>
  <c r="CI20" i="3"/>
  <c r="CI24" i="3"/>
  <c r="CI27" i="3"/>
  <c r="CI29" i="3"/>
  <c r="CI31" i="3"/>
  <c r="CI21" i="3"/>
  <c r="CI33" i="3"/>
  <c r="CI28" i="3"/>
  <c r="CI30" i="3"/>
  <c r="CI32" i="3"/>
  <c r="CI35" i="3"/>
  <c r="CI37" i="3"/>
  <c r="CI39" i="3"/>
  <c r="CI26" i="3"/>
  <c r="CI25" i="3"/>
  <c r="CI34" i="3"/>
  <c r="CI36" i="3"/>
  <c r="CI38" i="3"/>
  <c r="CI40" i="3"/>
  <c r="CI42" i="3"/>
  <c r="CI45" i="3"/>
  <c r="CI56" i="3"/>
  <c r="CI58" i="3"/>
  <c r="CI60" i="3"/>
  <c r="CI62" i="3"/>
  <c r="CI64" i="3"/>
  <c r="CI44" i="3"/>
  <c r="CI41" i="3"/>
  <c r="CI47" i="3"/>
  <c r="CI49" i="3"/>
  <c r="CI51" i="3"/>
  <c r="CI43" i="3"/>
  <c r="CI46" i="3"/>
  <c r="CI48" i="3"/>
  <c r="CI50" i="3"/>
  <c r="CI52" i="3"/>
  <c r="CI59" i="3"/>
  <c r="CI66" i="3"/>
  <c r="CI68" i="3"/>
  <c r="CI70" i="3"/>
  <c r="CI57" i="3"/>
  <c r="CI61" i="3"/>
  <c r="CI53" i="3"/>
  <c r="CI63" i="3"/>
  <c r="CI65" i="3"/>
  <c r="CI67" i="3"/>
  <c r="CI69" i="3"/>
  <c r="CI55" i="3"/>
  <c r="CI14" i="3"/>
  <c r="CI71" i="3"/>
  <c r="CI54" i="3"/>
  <c r="CI72" i="3"/>
  <c r="CI74" i="3"/>
  <c r="CI76" i="3"/>
  <c r="CI73" i="3"/>
  <c r="CI75" i="3"/>
  <c r="CI15" i="4"/>
  <c r="CI12" i="3"/>
  <c r="CJ13" i="3"/>
  <c r="CJ16" i="4"/>
  <c r="CJ18" i="4" l="1"/>
  <c r="CJ22" i="4"/>
  <c r="CJ21" i="4"/>
  <c r="CJ24" i="4"/>
  <c r="CJ23" i="4"/>
  <c r="CJ28" i="4"/>
  <c r="CJ17" i="4"/>
  <c r="CJ19" i="4"/>
  <c r="CJ20" i="4"/>
  <c r="CJ26" i="4"/>
  <c r="CJ27" i="4"/>
  <c r="CJ25" i="4"/>
  <c r="CJ76" i="3"/>
  <c r="CJ70" i="3"/>
  <c r="CJ15" i="3"/>
  <c r="CJ72" i="3"/>
  <c r="CJ17" i="3"/>
  <c r="CJ16" i="3"/>
  <c r="CJ18" i="3"/>
  <c r="CJ22" i="3"/>
  <c r="CJ21" i="3"/>
  <c r="CJ74" i="3"/>
  <c r="CJ20" i="3"/>
  <c r="CJ23" i="3"/>
  <c r="CJ24" i="3"/>
  <c r="CJ28" i="3"/>
  <c r="CJ26" i="3"/>
  <c r="CJ27" i="3"/>
  <c r="CJ19" i="3"/>
  <c r="CJ25" i="3"/>
  <c r="CJ32" i="3"/>
  <c r="CJ34" i="3"/>
  <c r="CJ37" i="3"/>
  <c r="CJ31" i="3"/>
  <c r="CJ30" i="3"/>
  <c r="CJ33" i="3"/>
  <c r="CJ29" i="3"/>
  <c r="CJ35" i="3"/>
  <c r="CJ38" i="3"/>
  <c r="CJ41" i="3"/>
  <c r="CJ43" i="3"/>
  <c r="CJ40" i="3"/>
  <c r="CJ42" i="3"/>
  <c r="CJ39" i="3"/>
  <c r="CJ36" i="3"/>
  <c r="CJ44" i="3"/>
  <c r="CJ45" i="3"/>
  <c r="CJ54" i="3"/>
  <c r="CJ50" i="3"/>
  <c r="CJ56" i="3"/>
  <c r="CJ58" i="3"/>
  <c r="CJ60" i="3"/>
  <c r="CJ46" i="3"/>
  <c r="CJ47" i="3"/>
  <c r="CJ49" i="3"/>
  <c r="CJ52" i="3"/>
  <c r="CJ57" i="3"/>
  <c r="CJ59" i="3"/>
  <c r="CJ53" i="3"/>
  <c r="CJ51" i="3"/>
  <c r="CJ55" i="3"/>
  <c r="CJ61" i="3"/>
  <c r="CJ65" i="3"/>
  <c r="CJ69" i="3"/>
  <c r="CJ66" i="3"/>
  <c r="CJ73" i="3"/>
  <c r="CJ48" i="3"/>
  <c r="CJ64" i="3"/>
  <c r="CJ63" i="3"/>
  <c r="CJ62" i="3"/>
  <c r="CJ67" i="3"/>
  <c r="CJ71" i="3"/>
  <c r="CJ14" i="3"/>
  <c r="CJ75" i="3"/>
  <c r="CJ68" i="3"/>
  <c r="CJ15" i="4"/>
  <c r="CJ12" i="3"/>
  <c r="CK13" i="3"/>
  <c r="CK16" i="4"/>
  <c r="CK27" i="4" l="1"/>
  <c r="CK28" i="4"/>
  <c r="CK22" i="4"/>
  <c r="CK19" i="4"/>
  <c r="CK18" i="4"/>
  <c r="CK20" i="4"/>
  <c r="CK24" i="4"/>
  <c r="CK17" i="4"/>
  <c r="CK23" i="4"/>
  <c r="CK25" i="4"/>
  <c r="CK26" i="4"/>
  <c r="CK21" i="4"/>
  <c r="CK16" i="3"/>
  <c r="CK15" i="3"/>
  <c r="CK21" i="3"/>
  <c r="CK20" i="3"/>
  <c r="CK19" i="3"/>
  <c r="CK17" i="3"/>
  <c r="CK18" i="3"/>
  <c r="CK28" i="3"/>
  <c r="CK30" i="3"/>
  <c r="CK24" i="3"/>
  <c r="CK22" i="3"/>
  <c r="CK25" i="3"/>
  <c r="CK27" i="3"/>
  <c r="CK29" i="3"/>
  <c r="CK26" i="3"/>
  <c r="CK33" i="3"/>
  <c r="CK35" i="3"/>
  <c r="CK32" i="3"/>
  <c r="CK34" i="3"/>
  <c r="CK23" i="3"/>
  <c r="CK31" i="3"/>
  <c r="CK39" i="3"/>
  <c r="CK45" i="3"/>
  <c r="CK37" i="3"/>
  <c r="CK38" i="3"/>
  <c r="CK46" i="3"/>
  <c r="CK40" i="3"/>
  <c r="CK47" i="3"/>
  <c r="CK49" i="3"/>
  <c r="CK51" i="3"/>
  <c r="CK53" i="3"/>
  <c r="CK55" i="3"/>
  <c r="CK43" i="3"/>
  <c r="CK36" i="3"/>
  <c r="CK42" i="3"/>
  <c r="CK44" i="3"/>
  <c r="CK48" i="3"/>
  <c r="CK50" i="3"/>
  <c r="CK52" i="3"/>
  <c r="CK54" i="3"/>
  <c r="CK41" i="3"/>
  <c r="CK68" i="3"/>
  <c r="CK56" i="3"/>
  <c r="CK58" i="3"/>
  <c r="CK60" i="3"/>
  <c r="CK62" i="3"/>
  <c r="CK64" i="3"/>
  <c r="CK57" i="3"/>
  <c r="CK59" i="3"/>
  <c r="CK61" i="3"/>
  <c r="CK63" i="3"/>
  <c r="CK65" i="3"/>
  <c r="CK66" i="3"/>
  <c r="CK70" i="3"/>
  <c r="CK71" i="3"/>
  <c r="CK67" i="3"/>
  <c r="CK73" i="3"/>
  <c r="CK76" i="3"/>
  <c r="CK69" i="3"/>
  <c r="CK72" i="3"/>
  <c r="CK74" i="3"/>
  <c r="CK75" i="3"/>
  <c r="CK14" i="3"/>
  <c r="CK15" i="4"/>
  <c r="CK12" i="3"/>
  <c r="CL13" i="3"/>
  <c r="CL16" i="4"/>
  <c r="CL22" i="4" l="1"/>
  <c r="CL23" i="4"/>
  <c r="CL28" i="4"/>
  <c r="CL17" i="4"/>
  <c r="CL18" i="4"/>
  <c r="CL21" i="4"/>
  <c r="CL26" i="4"/>
  <c r="CL27" i="4"/>
  <c r="CL20" i="4"/>
  <c r="CL24" i="4"/>
  <c r="CL25" i="4"/>
  <c r="CL19" i="4"/>
  <c r="CL16" i="3"/>
  <c r="CL15" i="3"/>
  <c r="CL67" i="3"/>
  <c r="CL19" i="3"/>
  <c r="CL18" i="3"/>
  <c r="CL20" i="3"/>
  <c r="CL22" i="3"/>
  <c r="CL21" i="3"/>
  <c r="CL25" i="3"/>
  <c r="CL23" i="3"/>
  <c r="CL24" i="3"/>
  <c r="CL26" i="3"/>
  <c r="CL17" i="3"/>
  <c r="CL29" i="3"/>
  <c r="CL34" i="3"/>
  <c r="CL27" i="3"/>
  <c r="CL32" i="3"/>
  <c r="CL40" i="3"/>
  <c r="CL31" i="3"/>
  <c r="CL33" i="3"/>
  <c r="CL35" i="3"/>
  <c r="CL42" i="3"/>
  <c r="CL43" i="3"/>
  <c r="CL45" i="3"/>
  <c r="CL36" i="3"/>
  <c r="CL28" i="3"/>
  <c r="CL37" i="3"/>
  <c r="CL38" i="3"/>
  <c r="CL41" i="3"/>
  <c r="CL44" i="3"/>
  <c r="CL39" i="3"/>
  <c r="CL47" i="3"/>
  <c r="CL30" i="3"/>
  <c r="CL46" i="3"/>
  <c r="CL48" i="3"/>
  <c r="CL54" i="3"/>
  <c r="CL51" i="3"/>
  <c r="CL50" i="3"/>
  <c r="CL49" i="3"/>
  <c r="CL53" i="3"/>
  <c r="CL52" i="3"/>
  <c r="CL71" i="3"/>
  <c r="CL59" i="3"/>
  <c r="CL74" i="3"/>
  <c r="CL58" i="3"/>
  <c r="CL62" i="3"/>
  <c r="CL57" i="3"/>
  <c r="CL66" i="3"/>
  <c r="CL76" i="3"/>
  <c r="CL61" i="3"/>
  <c r="CL65" i="3"/>
  <c r="CL75" i="3"/>
  <c r="CL56" i="3"/>
  <c r="CL68" i="3"/>
  <c r="CL70" i="3"/>
  <c r="CL64" i="3"/>
  <c r="CL14" i="3"/>
  <c r="CL73" i="3"/>
  <c r="CL55" i="3"/>
  <c r="CL72" i="3"/>
  <c r="CL63" i="3"/>
  <c r="CL60" i="3"/>
  <c r="CL69" i="3"/>
  <c r="CL15" i="4"/>
  <c r="CL12" i="3"/>
  <c r="CM13" i="3"/>
  <c r="CM16" i="4"/>
  <c r="CM15" i="3" l="1"/>
  <c r="CM18" i="3"/>
  <c r="CM19" i="3"/>
  <c r="CM17" i="3"/>
  <c r="CM16" i="3"/>
  <c r="CM21" i="3"/>
  <c r="CM24" i="3"/>
  <c r="CM23" i="3"/>
  <c r="CM22" i="3"/>
  <c r="CM20" i="3"/>
  <c r="CM25" i="3"/>
  <c r="CM32" i="3"/>
  <c r="CM34" i="3"/>
  <c r="CM27" i="3"/>
  <c r="CM29" i="3"/>
  <c r="CM31" i="3"/>
  <c r="CM28" i="3"/>
  <c r="CM30" i="3"/>
  <c r="CM26" i="3"/>
  <c r="CM36" i="3"/>
  <c r="CM38" i="3"/>
  <c r="CM35" i="3"/>
  <c r="CM37" i="3"/>
  <c r="CM39" i="3"/>
  <c r="CM33" i="3"/>
  <c r="CM40" i="3"/>
  <c r="CM46" i="3"/>
  <c r="CM48" i="3"/>
  <c r="CM50" i="3"/>
  <c r="CM52" i="3"/>
  <c r="CM56" i="3"/>
  <c r="CM58" i="3"/>
  <c r="CM60" i="3"/>
  <c r="CM47" i="3"/>
  <c r="CM49" i="3"/>
  <c r="CM51" i="3"/>
  <c r="CM53" i="3"/>
  <c r="CM45" i="3"/>
  <c r="CM55" i="3"/>
  <c r="CM57" i="3"/>
  <c r="CM59" i="3"/>
  <c r="CM62" i="3"/>
  <c r="CM64" i="3"/>
  <c r="CM66" i="3"/>
  <c r="CM68" i="3"/>
  <c r="CM70" i="3"/>
  <c r="CM43" i="3"/>
  <c r="CM54" i="3"/>
  <c r="CM61" i="3"/>
  <c r="CM42" i="3"/>
  <c r="CM41" i="3"/>
  <c r="CM63" i="3"/>
  <c r="CM65" i="3"/>
  <c r="CM67" i="3"/>
  <c r="CM69" i="3"/>
  <c r="CM44" i="3"/>
  <c r="CM14" i="3"/>
  <c r="CM72" i="3"/>
  <c r="CM74" i="3"/>
  <c r="CM76" i="3"/>
  <c r="CM71" i="3"/>
  <c r="CM73" i="3"/>
  <c r="CM75" i="3"/>
  <c r="CM21" i="4"/>
  <c r="CM20" i="4"/>
  <c r="CM23" i="4"/>
  <c r="CM22" i="4"/>
  <c r="CM26" i="4"/>
  <c r="CM25" i="4"/>
  <c r="CM24" i="4"/>
  <c r="CM19" i="4"/>
  <c r="CM27" i="4"/>
  <c r="CM28" i="4"/>
  <c r="CM18" i="4"/>
  <c r="CM17" i="4"/>
  <c r="CM15" i="4"/>
  <c r="CM12" i="3"/>
  <c r="CN13" i="3"/>
  <c r="CN16" i="4"/>
  <c r="CN16" i="3" l="1"/>
  <c r="CN74" i="3"/>
  <c r="CN72" i="3"/>
  <c r="CN76" i="3"/>
  <c r="CN15" i="3"/>
  <c r="CN17" i="3"/>
  <c r="CN21" i="3"/>
  <c r="CN23" i="3"/>
  <c r="CN20" i="3"/>
  <c r="CN22" i="3"/>
  <c r="CN18" i="3"/>
  <c r="CN19" i="3"/>
  <c r="CN24" i="3"/>
  <c r="CN25" i="3"/>
  <c r="CN29" i="3"/>
  <c r="CN28" i="3"/>
  <c r="CN31" i="3"/>
  <c r="CN27" i="3"/>
  <c r="CN30" i="3"/>
  <c r="CN32" i="3"/>
  <c r="CN34" i="3"/>
  <c r="CN33" i="3"/>
  <c r="CN26" i="3"/>
  <c r="CN35" i="3"/>
  <c r="CN36" i="3"/>
  <c r="CN41" i="3"/>
  <c r="CN43" i="3"/>
  <c r="CN38" i="3"/>
  <c r="CN40" i="3"/>
  <c r="CN42" i="3"/>
  <c r="CN45" i="3"/>
  <c r="CN48" i="3"/>
  <c r="CN44" i="3"/>
  <c r="CN37" i="3"/>
  <c r="CN46" i="3"/>
  <c r="CN39" i="3"/>
  <c r="CN56" i="3"/>
  <c r="CN58" i="3"/>
  <c r="CN60" i="3"/>
  <c r="CN53" i="3"/>
  <c r="CN47" i="3"/>
  <c r="CN49" i="3"/>
  <c r="CN55" i="3"/>
  <c r="CN57" i="3"/>
  <c r="CN59" i="3"/>
  <c r="CN67" i="3"/>
  <c r="CN69" i="3"/>
  <c r="CN50" i="3"/>
  <c r="CN63" i="3"/>
  <c r="CN64" i="3"/>
  <c r="CN51" i="3"/>
  <c r="CN70" i="3"/>
  <c r="CN71" i="3"/>
  <c r="CN75" i="3"/>
  <c r="CN62" i="3"/>
  <c r="CN66" i="3"/>
  <c r="CN52" i="3"/>
  <c r="CN68" i="3"/>
  <c r="CN65" i="3"/>
  <c r="CN61" i="3"/>
  <c r="CN14" i="3"/>
  <c r="CN73" i="3"/>
  <c r="CN54" i="3"/>
  <c r="CN20" i="4"/>
  <c r="CN23" i="4"/>
  <c r="CN27" i="4"/>
  <c r="CN26" i="4"/>
  <c r="CN17" i="4"/>
  <c r="CN24" i="4"/>
  <c r="CN28" i="4"/>
  <c r="CN22" i="4"/>
  <c r="CN25" i="4"/>
  <c r="CN18" i="4"/>
  <c r="CN19" i="4"/>
  <c r="CN21" i="4"/>
  <c r="CN15" i="4"/>
  <c r="CN12" i="3"/>
  <c r="CO13" i="3"/>
  <c r="CO16" i="4"/>
  <c r="CO27" i="4" l="1"/>
  <c r="CO21" i="4"/>
  <c r="CO20" i="4"/>
  <c r="CO25" i="4"/>
  <c r="CO28" i="4"/>
  <c r="CO18" i="4"/>
  <c r="CO23" i="4"/>
  <c r="CO26" i="4"/>
  <c r="CO24" i="4"/>
  <c r="CO22" i="4"/>
  <c r="CO19" i="4"/>
  <c r="CO17" i="4"/>
  <c r="CO16" i="3"/>
  <c r="CO68" i="3"/>
  <c r="CO15" i="3"/>
  <c r="CO18" i="3"/>
  <c r="CO17" i="3"/>
  <c r="CO20" i="3"/>
  <c r="CO19" i="3"/>
  <c r="CO22" i="3"/>
  <c r="CO21" i="3"/>
  <c r="CO23" i="3"/>
  <c r="CO25" i="3"/>
  <c r="CO24" i="3"/>
  <c r="CO28" i="3"/>
  <c r="CO30" i="3"/>
  <c r="CO26" i="3"/>
  <c r="CO27" i="3"/>
  <c r="CO29" i="3"/>
  <c r="CO33" i="3"/>
  <c r="CO35" i="3"/>
  <c r="CO31" i="3"/>
  <c r="CO32" i="3"/>
  <c r="CO34" i="3"/>
  <c r="CO39" i="3"/>
  <c r="CO36" i="3"/>
  <c r="CO46" i="3"/>
  <c r="CO37" i="3"/>
  <c r="CO38" i="3"/>
  <c r="CO41" i="3"/>
  <c r="CO42" i="3"/>
  <c r="CO48" i="3"/>
  <c r="CO50" i="3"/>
  <c r="CO52" i="3"/>
  <c r="CO54" i="3"/>
  <c r="CO44" i="3"/>
  <c r="CO43" i="3"/>
  <c r="CO47" i="3"/>
  <c r="CO49" i="3"/>
  <c r="CO51" i="3"/>
  <c r="CO53" i="3"/>
  <c r="CO55" i="3"/>
  <c r="CO40" i="3"/>
  <c r="CO45" i="3"/>
  <c r="CO57" i="3"/>
  <c r="CO59" i="3"/>
  <c r="CO61" i="3"/>
  <c r="CO63" i="3"/>
  <c r="CO65" i="3"/>
  <c r="CO71" i="3"/>
  <c r="CO73" i="3"/>
  <c r="CO56" i="3"/>
  <c r="CO58" i="3"/>
  <c r="CO60" i="3"/>
  <c r="CO62" i="3"/>
  <c r="CO64" i="3"/>
  <c r="CO74" i="3"/>
  <c r="CO75" i="3"/>
  <c r="CO67" i="3"/>
  <c r="CO70" i="3"/>
  <c r="CO69" i="3"/>
  <c r="CO76" i="3"/>
  <c r="CO66" i="3"/>
  <c r="CO72" i="3"/>
  <c r="CO14" i="3"/>
  <c r="CO15" i="4"/>
  <c r="CO12" i="3"/>
  <c r="CP13" i="3"/>
  <c r="CP16" i="4"/>
  <c r="CP18" i="4" l="1"/>
  <c r="CP21" i="4"/>
  <c r="CP25" i="4"/>
  <c r="CP24" i="4"/>
  <c r="CP19" i="4"/>
  <c r="CP17" i="4"/>
  <c r="CP27" i="4"/>
  <c r="CP26" i="4"/>
  <c r="CP20" i="4"/>
  <c r="CP23" i="4"/>
  <c r="CP28" i="4"/>
  <c r="CP22" i="4"/>
  <c r="CP16" i="3"/>
  <c r="CP15" i="3"/>
  <c r="CP19" i="3"/>
  <c r="CP17" i="3"/>
  <c r="CP21" i="3"/>
  <c r="CP20" i="3"/>
  <c r="CP18" i="3"/>
  <c r="CP22" i="3"/>
  <c r="CP25" i="3"/>
  <c r="CP24" i="3"/>
  <c r="CP26" i="3"/>
  <c r="CP23" i="3"/>
  <c r="CP28" i="3"/>
  <c r="CP30" i="3"/>
  <c r="CP31" i="3"/>
  <c r="CP41" i="3"/>
  <c r="CP29" i="3"/>
  <c r="CP27" i="3"/>
  <c r="CP44" i="3"/>
  <c r="CP37" i="3"/>
  <c r="CP36" i="3"/>
  <c r="CP40" i="3"/>
  <c r="CP34" i="3"/>
  <c r="CP39" i="3"/>
  <c r="CP42" i="3"/>
  <c r="CP43" i="3"/>
  <c r="CP45" i="3"/>
  <c r="CP32" i="3"/>
  <c r="CP35" i="3"/>
  <c r="CP33" i="3"/>
  <c r="CP51" i="3"/>
  <c r="CP47" i="3"/>
  <c r="CP50" i="3"/>
  <c r="CP54" i="3"/>
  <c r="CP38" i="3"/>
  <c r="CP49" i="3"/>
  <c r="CP46" i="3"/>
  <c r="CP48" i="3"/>
  <c r="CP52" i="3"/>
  <c r="CP55" i="3"/>
  <c r="CP56" i="3"/>
  <c r="CP64" i="3"/>
  <c r="CP66" i="3"/>
  <c r="CP63" i="3"/>
  <c r="CP68" i="3"/>
  <c r="CP53" i="3"/>
  <c r="CP58" i="3"/>
  <c r="CP61" i="3"/>
  <c r="CP65" i="3"/>
  <c r="CP60" i="3"/>
  <c r="CP14" i="3"/>
  <c r="CP72" i="3"/>
  <c r="CP73" i="3"/>
  <c r="CP70" i="3"/>
  <c r="CP71" i="3"/>
  <c r="CP59" i="3"/>
  <c r="CP67" i="3"/>
  <c r="CP62" i="3"/>
  <c r="CP76" i="3"/>
  <c r="CP57" i="3"/>
  <c r="CP69" i="3"/>
  <c r="CP74" i="3"/>
  <c r="CP75" i="3"/>
  <c r="CP15" i="4"/>
  <c r="CP12" i="3"/>
  <c r="CQ13" i="3"/>
  <c r="CQ16" i="4"/>
  <c r="CQ19" i="3" l="1"/>
  <c r="CQ18" i="3"/>
  <c r="CQ16" i="3"/>
  <c r="CQ17" i="3"/>
  <c r="CQ23" i="3"/>
  <c r="CQ15" i="3"/>
  <c r="CQ24" i="3"/>
  <c r="CQ22" i="3"/>
  <c r="CQ21" i="3"/>
  <c r="CQ28" i="3"/>
  <c r="CQ30" i="3"/>
  <c r="CQ20" i="3"/>
  <c r="CQ26" i="3"/>
  <c r="CQ32" i="3"/>
  <c r="CQ27" i="3"/>
  <c r="CQ29" i="3"/>
  <c r="CQ31" i="3"/>
  <c r="CQ33" i="3"/>
  <c r="CQ34" i="3"/>
  <c r="CQ25" i="3"/>
  <c r="CQ36" i="3"/>
  <c r="CQ38" i="3"/>
  <c r="CQ35" i="3"/>
  <c r="CQ37" i="3"/>
  <c r="CQ39" i="3"/>
  <c r="CQ40" i="3"/>
  <c r="CQ43" i="3"/>
  <c r="CQ57" i="3"/>
  <c r="CQ59" i="3"/>
  <c r="CQ61" i="3"/>
  <c r="CQ63" i="3"/>
  <c r="CQ42" i="3"/>
  <c r="CQ46" i="3"/>
  <c r="CQ48" i="3"/>
  <c r="CQ50" i="3"/>
  <c r="CQ52" i="3"/>
  <c r="CQ41" i="3"/>
  <c r="CQ45" i="3"/>
  <c r="CQ44" i="3"/>
  <c r="CQ47" i="3"/>
  <c r="CQ49" i="3"/>
  <c r="CQ51" i="3"/>
  <c r="CQ60" i="3"/>
  <c r="CQ65" i="3"/>
  <c r="CQ67" i="3"/>
  <c r="CQ69" i="3"/>
  <c r="CQ58" i="3"/>
  <c r="CQ62" i="3"/>
  <c r="CQ54" i="3"/>
  <c r="CQ56" i="3"/>
  <c r="CQ64" i="3"/>
  <c r="CQ66" i="3"/>
  <c r="CQ68" i="3"/>
  <c r="CQ70" i="3"/>
  <c r="CQ53" i="3"/>
  <c r="CQ55" i="3"/>
  <c r="CQ14" i="3"/>
  <c r="CQ72" i="3"/>
  <c r="CQ71" i="3"/>
  <c r="CQ73" i="3"/>
  <c r="CQ75" i="3"/>
  <c r="CQ74" i="3"/>
  <c r="CQ76" i="3"/>
  <c r="CQ25" i="4"/>
  <c r="CQ20" i="4"/>
  <c r="CQ23" i="4"/>
  <c r="CQ28" i="4"/>
  <c r="CQ24" i="4"/>
  <c r="CQ17" i="4"/>
  <c r="CQ18" i="4"/>
  <c r="CQ26" i="4"/>
  <c r="CQ19" i="4"/>
  <c r="CQ21" i="4"/>
  <c r="CQ22" i="4"/>
  <c r="CQ27" i="4"/>
  <c r="CQ15" i="4"/>
  <c r="CQ12" i="3"/>
  <c r="CR13" i="3"/>
  <c r="CR16" i="4"/>
  <c r="CR19" i="4" l="1"/>
  <c r="CR21" i="4"/>
  <c r="CR20" i="4"/>
  <c r="CR26" i="4"/>
  <c r="CR25" i="4"/>
  <c r="CR24" i="4"/>
  <c r="CR23" i="4"/>
  <c r="CR22" i="4"/>
  <c r="CR18" i="4"/>
  <c r="CR28" i="4"/>
  <c r="CR17" i="4"/>
  <c r="CR27" i="4"/>
  <c r="CR71" i="3"/>
  <c r="CR73" i="3"/>
  <c r="CR18" i="3"/>
  <c r="CR75" i="3"/>
  <c r="CR15" i="3"/>
  <c r="CR17" i="3"/>
  <c r="CR16" i="3"/>
  <c r="CR23" i="3"/>
  <c r="CR19" i="3"/>
  <c r="CR22" i="3"/>
  <c r="CR21" i="3"/>
  <c r="CR20" i="3"/>
  <c r="CR25" i="3"/>
  <c r="CR27" i="3"/>
  <c r="CR26" i="3"/>
  <c r="CR24" i="3"/>
  <c r="CR28" i="3"/>
  <c r="CR33" i="3"/>
  <c r="CR38" i="3"/>
  <c r="CR32" i="3"/>
  <c r="CR34" i="3"/>
  <c r="CR30" i="3"/>
  <c r="CR29" i="3"/>
  <c r="CR36" i="3"/>
  <c r="CR39" i="3"/>
  <c r="CR40" i="3"/>
  <c r="CR42" i="3"/>
  <c r="CR35" i="3"/>
  <c r="CR41" i="3"/>
  <c r="CR43" i="3"/>
  <c r="CR31" i="3"/>
  <c r="CR37" i="3"/>
  <c r="CR45" i="3"/>
  <c r="CR55" i="3"/>
  <c r="CR53" i="3"/>
  <c r="CR51" i="3"/>
  <c r="CR57" i="3"/>
  <c r="CR59" i="3"/>
  <c r="CR48" i="3"/>
  <c r="CR50" i="3"/>
  <c r="CR46" i="3"/>
  <c r="CR49" i="3"/>
  <c r="CR56" i="3"/>
  <c r="CR58" i="3"/>
  <c r="CR60" i="3"/>
  <c r="CR54" i="3"/>
  <c r="CR47" i="3"/>
  <c r="CR52" i="3"/>
  <c r="CR62" i="3"/>
  <c r="CR69" i="3"/>
  <c r="CR74" i="3"/>
  <c r="CR61" i="3"/>
  <c r="CR65" i="3"/>
  <c r="CR64" i="3"/>
  <c r="CR66" i="3"/>
  <c r="CR44" i="3"/>
  <c r="CR63" i="3"/>
  <c r="CR68" i="3"/>
  <c r="CR70" i="3"/>
  <c r="CR14" i="3"/>
  <c r="CR76" i="3"/>
  <c r="CR67" i="3"/>
  <c r="CR72" i="3"/>
  <c r="CR15" i="4"/>
  <c r="CR12" i="3"/>
  <c r="CS13" i="3"/>
  <c r="CS16" i="4"/>
  <c r="CS20" i="4" l="1"/>
  <c r="CS25" i="4"/>
  <c r="CS17" i="4"/>
  <c r="CS27" i="4"/>
  <c r="CS24" i="4"/>
  <c r="CS26" i="4"/>
  <c r="CS18" i="4"/>
  <c r="CS19" i="4"/>
  <c r="CS22" i="4"/>
  <c r="CS28" i="4"/>
  <c r="CS21" i="4"/>
  <c r="CS23" i="4"/>
  <c r="CS14" i="3"/>
  <c r="CS15" i="3"/>
  <c r="CS16" i="3"/>
  <c r="CS20" i="3"/>
  <c r="CS17" i="3"/>
  <c r="CS19" i="3"/>
  <c r="CS18" i="3"/>
  <c r="CS23" i="3"/>
  <c r="CS22" i="3"/>
  <c r="CS24" i="3"/>
  <c r="CS27" i="3"/>
  <c r="CS29" i="3"/>
  <c r="CS21" i="3"/>
  <c r="CS28" i="3"/>
  <c r="CS30" i="3"/>
  <c r="CS25" i="3"/>
  <c r="CS32" i="3"/>
  <c r="CS34" i="3"/>
  <c r="CS31" i="3"/>
  <c r="CS33" i="3"/>
  <c r="CS35" i="3"/>
  <c r="CS26" i="3"/>
  <c r="CS40" i="3"/>
  <c r="CS39" i="3"/>
  <c r="CS36" i="3"/>
  <c r="CS38" i="3"/>
  <c r="CS41" i="3"/>
  <c r="CS46" i="3"/>
  <c r="CS48" i="3"/>
  <c r="CS50" i="3"/>
  <c r="CS52" i="3"/>
  <c r="CS54" i="3"/>
  <c r="CS43" i="3"/>
  <c r="CS45" i="3"/>
  <c r="CS44" i="3"/>
  <c r="CS47" i="3"/>
  <c r="CS49" i="3"/>
  <c r="CS51" i="3"/>
  <c r="CS53" i="3"/>
  <c r="CS55" i="3"/>
  <c r="CS42" i="3"/>
  <c r="CS69" i="3"/>
  <c r="CS57" i="3"/>
  <c r="CS59" i="3"/>
  <c r="CS61" i="3"/>
  <c r="CS63" i="3"/>
  <c r="CS65" i="3"/>
  <c r="CS37" i="3"/>
  <c r="CS56" i="3"/>
  <c r="CS58" i="3"/>
  <c r="CS60" i="3"/>
  <c r="CS62" i="3"/>
  <c r="CS64" i="3"/>
  <c r="CS67" i="3"/>
  <c r="CS72" i="3"/>
  <c r="CS68" i="3"/>
  <c r="CS71" i="3"/>
  <c r="CS74" i="3"/>
  <c r="CS75" i="3"/>
  <c r="CS70" i="3"/>
  <c r="CS73" i="3"/>
  <c r="CS76" i="3"/>
  <c r="CS66" i="3"/>
  <c r="CS15" i="4"/>
  <c r="CS12" i="3"/>
  <c r="CT13" i="3"/>
  <c r="CT16" i="4"/>
  <c r="CT23" i="4" l="1"/>
  <c r="CT18" i="4"/>
  <c r="CT17" i="4"/>
  <c r="CT24" i="4"/>
  <c r="CT21" i="4"/>
  <c r="CT22" i="4"/>
  <c r="CT28" i="4"/>
  <c r="CT26" i="4"/>
  <c r="CT19" i="4"/>
  <c r="CT25" i="4"/>
  <c r="CT27" i="4"/>
  <c r="CT20" i="4"/>
  <c r="CT15" i="3"/>
  <c r="CT68" i="3"/>
  <c r="CT16" i="3"/>
  <c r="CT18" i="3"/>
  <c r="CT17" i="3"/>
  <c r="CT19" i="3"/>
  <c r="CT21" i="3"/>
  <c r="CT20" i="3"/>
  <c r="CT24" i="3"/>
  <c r="CT26" i="3"/>
  <c r="CT22" i="3"/>
  <c r="CT25" i="3"/>
  <c r="CT23" i="3"/>
  <c r="CT30" i="3"/>
  <c r="CT28" i="3"/>
  <c r="CT31" i="3"/>
  <c r="CT33" i="3"/>
  <c r="CT41" i="3"/>
  <c r="CT34" i="3"/>
  <c r="CT27" i="3"/>
  <c r="CT39" i="3"/>
  <c r="CT44" i="3"/>
  <c r="CT32" i="3"/>
  <c r="CT36" i="3"/>
  <c r="CT37" i="3"/>
  <c r="CT40" i="3"/>
  <c r="CT38" i="3"/>
  <c r="CT42" i="3"/>
  <c r="CT43" i="3"/>
  <c r="CT45" i="3"/>
  <c r="CT29" i="3"/>
  <c r="CT46" i="3"/>
  <c r="CT48" i="3"/>
  <c r="CT47" i="3"/>
  <c r="CT35" i="3"/>
  <c r="CT55" i="3"/>
  <c r="CT52" i="3"/>
  <c r="CT54" i="3"/>
  <c r="CT51" i="3"/>
  <c r="CT50" i="3"/>
  <c r="CT53" i="3"/>
  <c r="CT49" i="3"/>
  <c r="CT74" i="3"/>
  <c r="CT60" i="3"/>
  <c r="CT63" i="3"/>
  <c r="CT57" i="3"/>
  <c r="CT14" i="3"/>
  <c r="CT71" i="3"/>
  <c r="CT72" i="3"/>
  <c r="CT58" i="3"/>
  <c r="CT67" i="3"/>
  <c r="CT62" i="3"/>
  <c r="CT56" i="3"/>
  <c r="CT69" i="3"/>
  <c r="CT73" i="3"/>
  <c r="CT76" i="3"/>
  <c r="CT59" i="3"/>
  <c r="CT61" i="3"/>
  <c r="CT65" i="3"/>
  <c r="CT75" i="3"/>
  <c r="CT64" i="3"/>
  <c r="CT70" i="3"/>
  <c r="CT66" i="3"/>
  <c r="CT15" i="4"/>
  <c r="CT12" i="3"/>
  <c r="CU13" i="3"/>
  <c r="CU16" i="4"/>
  <c r="CU20" i="4" l="1"/>
  <c r="CU28" i="4"/>
  <c r="CU26" i="4"/>
  <c r="CU22" i="4"/>
  <c r="CU21" i="4"/>
  <c r="CU24" i="4"/>
  <c r="CU19" i="4"/>
  <c r="CU23" i="4"/>
  <c r="CU18" i="4"/>
  <c r="CU17" i="4"/>
  <c r="CU27" i="4"/>
  <c r="CU25" i="4"/>
  <c r="CU16" i="3"/>
  <c r="CU18" i="3"/>
  <c r="CU22" i="3"/>
  <c r="CU15" i="3"/>
  <c r="CU17" i="3"/>
  <c r="CU21" i="3"/>
  <c r="CU19" i="3"/>
  <c r="CU20" i="3"/>
  <c r="CU33" i="3"/>
  <c r="CU35" i="3"/>
  <c r="CU28" i="3"/>
  <c r="CU30" i="3"/>
  <c r="CU25" i="3"/>
  <c r="CU24" i="3"/>
  <c r="CU26" i="3"/>
  <c r="CU27" i="3"/>
  <c r="CU29" i="3"/>
  <c r="CU31" i="3"/>
  <c r="CU23" i="3"/>
  <c r="CU32" i="3"/>
  <c r="CU37" i="3"/>
  <c r="CU39" i="3"/>
  <c r="CU34" i="3"/>
  <c r="CU36" i="3"/>
  <c r="CU38" i="3"/>
  <c r="CU40" i="3"/>
  <c r="CU47" i="3"/>
  <c r="CU49" i="3"/>
  <c r="CU51" i="3"/>
  <c r="CU57" i="3"/>
  <c r="CU59" i="3"/>
  <c r="CU44" i="3"/>
  <c r="CU46" i="3"/>
  <c r="CU48" i="3"/>
  <c r="CU50" i="3"/>
  <c r="CU52" i="3"/>
  <c r="CU41" i="3"/>
  <c r="CU54" i="3"/>
  <c r="CU56" i="3"/>
  <c r="CU58" i="3"/>
  <c r="CU60" i="3"/>
  <c r="CU63" i="3"/>
  <c r="CU53" i="3"/>
  <c r="CU65" i="3"/>
  <c r="CU67" i="3"/>
  <c r="CU69" i="3"/>
  <c r="CU45" i="3"/>
  <c r="CU55" i="3"/>
  <c r="CU62" i="3"/>
  <c r="CU43" i="3"/>
  <c r="CU61" i="3"/>
  <c r="CU64" i="3"/>
  <c r="CU66" i="3"/>
  <c r="CU68" i="3"/>
  <c r="CU70" i="3"/>
  <c r="CU42" i="3"/>
  <c r="CU71" i="3"/>
  <c r="CU73" i="3"/>
  <c r="CU75" i="3"/>
  <c r="CU14" i="3"/>
  <c r="CU72" i="3"/>
  <c r="CU74" i="3"/>
  <c r="CU76" i="3"/>
  <c r="CU15" i="4"/>
  <c r="CU12" i="3"/>
  <c r="CV13" i="3"/>
  <c r="CV16" i="4"/>
  <c r="CV75" i="3" l="1"/>
  <c r="CV73" i="3"/>
  <c r="CV15" i="3"/>
  <c r="CV17" i="3"/>
  <c r="CV16" i="3"/>
  <c r="CV71" i="3"/>
  <c r="CV20" i="3"/>
  <c r="CV22" i="3"/>
  <c r="CV21" i="3"/>
  <c r="CV23" i="3"/>
  <c r="CV18" i="3"/>
  <c r="CV19" i="3"/>
  <c r="CV24" i="3"/>
  <c r="CV30" i="3"/>
  <c r="CV25" i="3"/>
  <c r="CV26" i="3"/>
  <c r="CV27" i="3"/>
  <c r="CV29" i="3"/>
  <c r="CV28" i="3"/>
  <c r="CV35" i="3"/>
  <c r="CV33" i="3"/>
  <c r="CV31" i="3"/>
  <c r="CV32" i="3"/>
  <c r="CV34" i="3"/>
  <c r="CV37" i="3"/>
  <c r="CV40" i="3"/>
  <c r="CV42" i="3"/>
  <c r="CV39" i="3"/>
  <c r="CV41" i="3"/>
  <c r="CV43" i="3"/>
  <c r="CV45" i="3"/>
  <c r="CV38" i="3"/>
  <c r="CV44" i="3"/>
  <c r="CV47" i="3"/>
  <c r="CV36" i="3"/>
  <c r="CV57" i="3"/>
  <c r="CV59" i="3"/>
  <c r="CV66" i="3"/>
  <c r="CV54" i="3"/>
  <c r="CV48" i="3"/>
  <c r="CV50" i="3"/>
  <c r="CV56" i="3"/>
  <c r="CV58" i="3"/>
  <c r="CV60" i="3"/>
  <c r="CV46" i="3"/>
  <c r="CV61" i="3"/>
  <c r="CV49" i="3"/>
  <c r="CV52" i="3"/>
  <c r="CV14" i="3"/>
  <c r="CV65" i="3"/>
  <c r="CV53" i="3"/>
  <c r="CV68" i="3"/>
  <c r="CV70" i="3"/>
  <c r="CV51" i="3"/>
  <c r="CV62" i="3"/>
  <c r="CV67" i="3"/>
  <c r="CV69" i="3"/>
  <c r="CV55" i="3"/>
  <c r="CV64" i="3"/>
  <c r="CV74" i="3"/>
  <c r="CV63" i="3"/>
  <c r="CV72" i="3"/>
  <c r="CV76" i="3"/>
  <c r="CV18" i="4"/>
  <c r="CV28" i="4"/>
  <c r="CV23" i="4"/>
  <c r="CV25" i="4"/>
  <c r="CV22" i="4"/>
  <c r="CV27" i="4"/>
  <c r="CV17" i="4"/>
  <c r="CV21" i="4"/>
  <c r="CV20" i="4"/>
  <c r="CV19" i="4"/>
  <c r="CV24" i="4"/>
  <c r="CV26" i="4"/>
  <c r="CV15" i="4"/>
  <c r="CV12" i="3"/>
  <c r="CW13" i="3"/>
  <c r="CW16" i="4"/>
  <c r="CW21" i="4" l="1"/>
  <c r="CW20" i="4"/>
  <c r="CW25" i="4"/>
  <c r="CW19" i="4"/>
  <c r="CW23" i="4"/>
  <c r="CW26" i="4"/>
  <c r="CW18" i="4"/>
  <c r="CW24" i="4"/>
  <c r="CW27" i="4"/>
  <c r="CW17" i="4"/>
  <c r="CW22" i="4"/>
  <c r="CW28" i="4"/>
  <c r="CW14" i="3"/>
  <c r="CW69" i="3"/>
  <c r="CW16" i="3"/>
  <c r="CW15" i="3"/>
  <c r="CW19" i="3"/>
  <c r="CW17" i="3"/>
  <c r="CW20" i="3"/>
  <c r="CW18" i="3"/>
  <c r="CW22" i="3"/>
  <c r="CW23" i="3"/>
  <c r="CW21" i="3"/>
  <c r="CW25" i="3"/>
  <c r="CW26" i="3"/>
  <c r="CW27" i="3"/>
  <c r="CW29" i="3"/>
  <c r="CW24" i="3"/>
  <c r="CW28" i="3"/>
  <c r="CW36" i="3"/>
  <c r="CW30" i="3"/>
  <c r="CW32" i="3"/>
  <c r="CW34" i="3"/>
  <c r="CW33" i="3"/>
  <c r="CW35" i="3"/>
  <c r="CW38" i="3"/>
  <c r="CW37" i="3"/>
  <c r="CW41" i="3"/>
  <c r="CW39" i="3"/>
  <c r="CW42" i="3"/>
  <c r="CW47" i="3"/>
  <c r="CW49" i="3"/>
  <c r="CW51" i="3"/>
  <c r="CW53" i="3"/>
  <c r="CW55" i="3"/>
  <c r="CW45" i="3"/>
  <c r="CW46" i="3"/>
  <c r="CW48" i="3"/>
  <c r="CW50" i="3"/>
  <c r="CW52" i="3"/>
  <c r="CW54" i="3"/>
  <c r="CW31" i="3"/>
  <c r="CW43" i="3"/>
  <c r="CW40" i="3"/>
  <c r="CW44" i="3"/>
  <c r="CW56" i="3"/>
  <c r="CW58" i="3"/>
  <c r="CW60" i="3"/>
  <c r="CW62" i="3"/>
  <c r="CW64" i="3"/>
  <c r="CW72" i="3"/>
  <c r="CW74" i="3"/>
  <c r="CW57" i="3"/>
  <c r="CW59" i="3"/>
  <c r="CW61" i="3"/>
  <c r="CW63" i="3"/>
  <c r="CW65" i="3"/>
  <c r="CW76" i="3"/>
  <c r="CW68" i="3"/>
  <c r="CW70" i="3"/>
  <c r="CW71" i="3"/>
  <c r="CW75" i="3"/>
  <c r="CW73" i="3"/>
  <c r="CW66" i="3"/>
  <c r="CW67" i="3"/>
  <c r="CW15" i="4"/>
  <c r="CW12" i="3"/>
  <c r="CX13" i="3"/>
  <c r="CX16" i="4"/>
  <c r="CX18" i="4" l="1"/>
  <c r="CX24" i="4"/>
  <c r="CX26" i="4"/>
  <c r="CX21" i="4"/>
  <c r="CX27" i="4"/>
  <c r="CX20" i="4"/>
  <c r="CX23" i="4"/>
  <c r="CX22" i="4"/>
  <c r="CX17" i="4"/>
  <c r="CX28" i="4"/>
  <c r="CX19" i="4"/>
  <c r="CX25" i="4"/>
  <c r="CX16" i="3"/>
  <c r="CX18" i="3"/>
  <c r="CX15" i="3"/>
  <c r="CX17" i="3"/>
  <c r="CX20" i="3"/>
  <c r="CX22" i="3"/>
  <c r="CX21" i="3"/>
  <c r="CX19" i="3"/>
  <c r="CX24" i="3"/>
  <c r="CX26" i="3"/>
  <c r="CX25" i="3"/>
  <c r="CX23" i="3"/>
  <c r="CX27" i="3"/>
  <c r="CX31" i="3"/>
  <c r="CX40" i="3"/>
  <c r="CX42" i="3"/>
  <c r="CX28" i="3"/>
  <c r="CX29" i="3"/>
  <c r="CX30" i="3"/>
  <c r="CX43" i="3"/>
  <c r="CX45" i="3"/>
  <c r="CX38" i="3"/>
  <c r="CX41" i="3"/>
  <c r="CX34" i="3"/>
  <c r="CX44" i="3"/>
  <c r="CX33" i="3"/>
  <c r="CX35" i="3"/>
  <c r="CX36" i="3"/>
  <c r="CX32" i="3"/>
  <c r="CX39" i="3"/>
  <c r="CX52" i="3"/>
  <c r="CX53" i="3"/>
  <c r="CX37" i="3"/>
  <c r="CX46" i="3"/>
  <c r="CX48" i="3"/>
  <c r="CX51" i="3"/>
  <c r="CX55" i="3"/>
  <c r="CX50" i="3"/>
  <c r="CX47" i="3"/>
  <c r="CX49" i="3"/>
  <c r="CX57" i="3"/>
  <c r="CX61" i="3"/>
  <c r="CX65" i="3"/>
  <c r="CX67" i="3"/>
  <c r="CX64" i="3"/>
  <c r="CX54" i="3"/>
  <c r="CX59" i="3"/>
  <c r="CX62" i="3"/>
  <c r="CX75" i="3"/>
  <c r="CX72" i="3"/>
  <c r="CX66" i="3"/>
  <c r="CX69" i="3"/>
  <c r="CX73" i="3"/>
  <c r="CX74" i="3"/>
  <c r="CX60" i="3"/>
  <c r="CX68" i="3"/>
  <c r="CX63" i="3"/>
  <c r="CX14" i="3"/>
  <c r="CX71" i="3"/>
  <c r="CX58" i="3"/>
  <c r="CX70" i="3"/>
  <c r="CX76" i="3"/>
  <c r="CX56" i="3"/>
  <c r="CX15" i="4"/>
  <c r="CX12" i="3"/>
  <c r="CY13" i="3"/>
  <c r="CY16" i="4"/>
  <c r="CY17" i="3" l="1"/>
  <c r="CY18" i="3"/>
  <c r="CY19" i="3"/>
  <c r="CY15" i="3"/>
  <c r="CY16" i="3"/>
  <c r="CY21" i="3"/>
  <c r="CY23" i="3"/>
  <c r="CY20" i="3"/>
  <c r="CY22" i="3"/>
  <c r="CY27" i="3"/>
  <c r="CY29" i="3"/>
  <c r="CY31" i="3"/>
  <c r="CY25" i="3"/>
  <c r="CY26" i="3"/>
  <c r="CY33" i="3"/>
  <c r="CY28" i="3"/>
  <c r="CY30" i="3"/>
  <c r="CY32" i="3"/>
  <c r="CY35" i="3"/>
  <c r="CY37" i="3"/>
  <c r="CY39" i="3"/>
  <c r="CY24" i="3"/>
  <c r="CY34" i="3"/>
  <c r="CY36" i="3"/>
  <c r="CY38" i="3"/>
  <c r="CY44" i="3"/>
  <c r="CY40" i="3"/>
  <c r="CY56" i="3"/>
  <c r="CY58" i="3"/>
  <c r="CY60" i="3"/>
  <c r="CY62" i="3"/>
  <c r="CY43" i="3"/>
  <c r="CY47" i="3"/>
  <c r="CY49" i="3"/>
  <c r="CY51" i="3"/>
  <c r="CY42" i="3"/>
  <c r="CY41" i="3"/>
  <c r="CY45" i="3"/>
  <c r="CY46" i="3"/>
  <c r="CY48" i="3"/>
  <c r="CY50" i="3"/>
  <c r="CY52" i="3"/>
  <c r="CY61" i="3"/>
  <c r="CY64" i="3"/>
  <c r="CY66" i="3"/>
  <c r="CY68" i="3"/>
  <c r="CY70" i="3"/>
  <c r="CY53" i="3"/>
  <c r="CY59" i="3"/>
  <c r="CY63" i="3"/>
  <c r="CY55" i="3"/>
  <c r="CY57" i="3"/>
  <c r="CY65" i="3"/>
  <c r="CY67" i="3"/>
  <c r="CY69" i="3"/>
  <c r="CY71" i="3"/>
  <c r="CY54" i="3"/>
  <c r="CY14" i="3"/>
  <c r="CY72" i="3"/>
  <c r="CY74" i="3"/>
  <c r="CY76" i="3"/>
  <c r="CY75" i="3"/>
  <c r="CY73" i="3"/>
  <c r="CY19" i="4"/>
  <c r="CY21" i="4"/>
  <c r="CY24" i="4"/>
  <c r="CY23" i="4"/>
  <c r="CY17" i="4"/>
  <c r="CY28" i="4"/>
  <c r="CY22" i="4"/>
  <c r="CY27" i="4"/>
  <c r="CY26" i="4"/>
  <c r="CY20" i="4"/>
  <c r="CY18" i="4"/>
  <c r="CY25" i="4"/>
  <c r="CY15" i="4"/>
  <c r="CY12" i="3"/>
  <c r="CZ13" i="3"/>
  <c r="CZ16" i="4"/>
  <c r="CZ18" i="4" l="1"/>
  <c r="CZ17" i="4"/>
  <c r="CZ25" i="4"/>
  <c r="CZ23" i="4"/>
  <c r="CZ20" i="4"/>
  <c r="CZ22" i="4"/>
  <c r="CZ21" i="4"/>
  <c r="CZ28" i="4"/>
  <c r="CZ19" i="4"/>
  <c r="CZ26" i="4"/>
  <c r="CZ27" i="4"/>
  <c r="CZ24" i="4"/>
  <c r="CZ72" i="3"/>
  <c r="CZ15" i="3"/>
  <c r="CZ74" i="3"/>
  <c r="CZ17" i="3"/>
  <c r="CZ18" i="3"/>
  <c r="CZ20" i="3"/>
  <c r="CZ76" i="3"/>
  <c r="CZ23" i="3"/>
  <c r="CZ16" i="3"/>
  <c r="CZ22" i="3"/>
  <c r="CZ21" i="3"/>
  <c r="CZ24" i="3"/>
  <c r="CZ19" i="3"/>
  <c r="CZ26" i="3"/>
  <c r="CZ28" i="3"/>
  <c r="CZ25" i="3"/>
  <c r="CZ27" i="3"/>
  <c r="CZ31" i="3"/>
  <c r="CZ32" i="3"/>
  <c r="CZ34" i="3"/>
  <c r="CZ29" i="3"/>
  <c r="CZ39" i="3"/>
  <c r="CZ33" i="3"/>
  <c r="CZ37" i="3"/>
  <c r="CZ41" i="3"/>
  <c r="CZ43" i="3"/>
  <c r="CZ35" i="3"/>
  <c r="CZ36" i="3"/>
  <c r="CZ40" i="3"/>
  <c r="CZ42" i="3"/>
  <c r="CZ30" i="3"/>
  <c r="CZ38" i="3"/>
  <c r="CZ44" i="3"/>
  <c r="CZ54" i="3"/>
  <c r="CZ52" i="3"/>
  <c r="CZ56" i="3"/>
  <c r="CZ58" i="3"/>
  <c r="CZ60" i="3"/>
  <c r="CZ48" i="3"/>
  <c r="CZ51" i="3"/>
  <c r="CZ53" i="3"/>
  <c r="CZ47" i="3"/>
  <c r="CZ50" i="3"/>
  <c r="CZ57" i="3"/>
  <c r="CZ59" i="3"/>
  <c r="CZ55" i="3"/>
  <c r="CZ49" i="3"/>
  <c r="CZ63" i="3"/>
  <c r="CZ75" i="3"/>
  <c r="CZ68" i="3"/>
  <c r="CZ62" i="3"/>
  <c r="CZ46" i="3"/>
  <c r="CZ61" i="3"/>
  <c r="CZ65" i="3"/>
  <c r="CZ67" i="3"/>
  <c r="CZ66" i="3"/>
  <c r="CZ64" i="3"/>
  <c r="CZ69" i="3"/>
  <c r="CZ45" i="3"/>
  <c r="CZ71" i="3"/>
  <c r="CZ73" i="3"/>
  <c r="CZ70" i="3"/>
  <c r="CZ14" i="3"/>
  <c r="CZ15" i="4"/>
  <c r="CZ12" i="3"/>
  <c r="DA13" i="3"/>
  <c r="DA16" i="4"/>
  <c r="DA16" i="3" l="1"/>
  <c r="DA15" i="3"/>
  <c r="DA17" i="3"/>
  <c r="DA18" i="3"/>
  <c r="DA19" i="3"/>
  <c r="DA20" i="3"/>
  <c r="DA25" i="3"/>
  <c r="DA28" i="3"/>
  <c r="DA24" i="3"/>
  <c r="DA30" i="3"/>
  <c r="DA22" i="3"/>
  <c r="DA26" i="3"/>
  <c r="DA21" i="3"/>
  <c r="DA27" i="3"/>
  <c r="DA29" i="3"/>
  <c r="DA23" i="3"/>
  <c r="DA33" i="3"/>
  <c r="DA35" i="3"/>
  <c r="DA31" i="3"/>
  <c r="DA32" i="3"/>
  <c r="DA34" i="3"/>
  <c r="DA37" i="3"/>
  <c r="DA39" i="3"/>
  <c r="DA42" i="3"/>
  <c r="DA38" i="3"/>
  <c r="DA45" i="3"/>
  <c r="DA47" i="3"/>
  <c r="DA49" i="3"/>
  <c r="DA51" i="3"/>
  <c r="DA53" i="3"/>
  <c r="DA55" i="3"/>
  <c r="DA36" i="3"/>
  <c r="DA40" i="3"/>
  <c r="DA41" i="3"/>
  <c r="DA44" i="3"/>
  <c r="DA46" i="3"/>
  <c r="DA48" i="3"/>
  <c r="DA50" i="3"/>
  <c r="DA52" i="3"/>
  <c r="DA54" i="3"/>
  <c r="DA43" i="3"/>
  <c r="DA70" i="3"/>
  <c r="DA56" i="3"/>
  <c r="DA58" i="3"/>
  <c r="DA60" i="3"/>
  <c r="DA62" i="3"/>
  <c r="DA64" i="3"/>
  <c r="DA57" i="3"/>
  <c r="DA59" i="3"/>
  <c r="DA61" i="3"/>
  <c r="DA63" i="3"/>
  <c r="DA65" i="3"/>
  <c r="DA68" i="3"/>
  <c r="DA73" i="3"/>
  <c r="DA69" i="3"/>
  <c r="DA72" i="3"/>
  <c r="DA76" i="3"/>
  <c r="DA74" i="3"/>
  <c r="DA66" i="3"/>
  <c r="DA71" i="3"/>
  <c r="DA75" i="3"/>
  <c r="DA67" i="3"/>
  <c r="DA14" i="3"/>
  <c r="DA27" i="4"/>
  <c r="DA21" i="4"/>
  <c r="DA25" i="4"/>
  <c r="DA28" i="4"/>
  <c r="DA24" i="4"/>
  <c r="DA23" i="4"/>
  <c r="DA20" i="4"/>
  <c r="DA22" i="4"/>
  <c r="DA26" i="4"/>
  <c r="DA19" i="4"/>
  <c r="DA18" i="4"/>
  <c r="DA17" i="4"/>
  <c r="DA15" i="4"/>
  <c r="DA12" i="3"/>
  <c r="DB13" i="3"/>
  <c r="DB16" i="4"/>
  <c r="DB27" i="4" l="1"/>
  <c r="DB23" i="4"/>
  <c r="DB17" i="4"/>
  <c r="DB21" i="4"/>
  <c r="DB20" i="4"/>
  <c r="DB24" i="4"/>
  <c r="DB25" i="4"/>
  <c r="DB22" i="4"/>
  <c r="DB18" i="4"/>
  <c r="DB26" i="4"/>
  <c r="DB28" i="4"/>
  <c r="DB19" i="4"/>
  <c r="DB67" i="3"/>
  <c r="DB16" i="3"/>
  <c r="DB69" i="3"/>
  <c r="DB15" i="3"/>
  <c r="DB17" i="3"/>
  <c r="DB19" i="3"/>
  <c r="DB18" i="3"/>
  <c r="DB20" i="3"/>
  <c r="DB21" i="3"/>
  <c r="DB23" i="3"/>
  <c r="DB25" i="3"/>
  <c r="DB24" i="3"/>
  <c r="DB26" i="3"/>
  <c r="DB22" i="3"/>
  <c r="DB27" i="3"/>
  <c r="DB32" i="3"/>
  <c r="DB30" i="3"/>
  <c r="DB31" i="3"/>
  <c r="DB34" i="3"/>
  <c r="DB42" i="3"/>
  <c r="DB38" i="3"/>
  <c r="DB43" i="3"/>
  <c r="DB45" i="3"/>
  <c r="DB33" i="3"/>
  <c r="DB37" i="3"/>
  <c r="DB41" i="3"/>
  <c r="DB29" i="3"/>
  <c r="DB39" i="3"/>
  <c r="DB36" i="3"/>
  <c r="DB40" i="3"/>
  <c r="DB44" i="3"/>
  <c r="DB47" i="3"/>
  <c r="DB28" i="3"/>
  <c r="DB35" i="3"/>
  <c r="DB46" i="3"/>
  <c r="DB48" i="3"/>
  <c r="DB49" i="3"/>
  <c r="DB52" i="3"/>
  <c r="DB51" i="3"/>
  <c r="DB55" i="3"/>
  <c r="DB54" i="3"/>
  <c r="DB50" i="3"/>
  <c r="DB60" i="3"/>
  <c r="DB66" i="3"/>
  <c r="DB75" i="3"/>
  <c r="DB64" i="3"/>
  <c r="DB74" i="3"/>
  <c r="DB58" i="3"/>
  <c r="DB59" i="3"/>
  <c r="DB68" i="3"/>
  <c r="DB70" i="3"/>
  <c r="DB63" i="3"/>
  <c r="DB71" i="3"/>
  <c r="DB72" i="3"/>
  <c r="DB73" i="3"/>
  <c r="DB57" i="3"/>
  <c r="DB62" i="3"/>
  <c r="DB14" i="3"/>
  <c r="DB76" i="3"/>
  <c r="DB61" i="3"/>
  <c r="DB65" i="3"/>
  <c r="DB53" i="3"/>
  <c r="DB56" i="3"/>
  <c r="DB15" i="4"/>
  <c r="DB12" i="3"/>
  <c r="DC13" i="3"/>
  <c r="DC16" i="4"/>
  <c r="DC18" i="3" l="1"/>
  <c r="DC15" i="3"/>
  <c r="DC17" i="3"/>
  <c r="DC19" i="3"/>
  <c r="DC16" i="3"/>
  <c r="DC22" i="3"/>
  <c r="DC23" i="3"/>
  <c r="DC20" i="3"/>
  <c r="DC21" i="3"/>
  <c r="DC32" i="3"/>
  <c r="DC34" i="3"/>
  <c r="DC27" i="3"/>
  <c r="DC29" i="3"/>
  <c r="DC31" i="3"/>
  <c r="DC25" i="3"/>
  <c r="DC26" i="3"/>
  <c r="DC28" i="3"/>
  <c r="DC30" i="3"/>
  <c r="DC24" i="3"/>
  <c r="DC36" i="3"/>
  <c r="DC38" i="3"/>
  <c r="DC33" i="3"/>
  <c r="DC35" i="3"/>
  <c r="DC37" i="3"/>
  <c r="DC39" i="3"/>
  <c r="DC40" i="3"/>
  <c r="DC46" i="3"/>
  <c r="DC48" i="3"/>
  <c r="DC50" i="3"/>
  <c r="DC52" i="3"/>
  <c r="DC53" i="3"/>
  <c r="DC56" i="3"/>
  <c r="DC58" i="3"/>
  <c r="DC60" i="3"/>
  <c r="DC45" i="3"/>
  <c r="DC47" i="3"/>
  <c r="DC49" i="3"/>
  <c r="DC51" i="3"/>
  <c r="DC42" i="3"/>
  <c r="DC55" i="3"/>
  <c r="DC57" i="3"/>
  <c r="DC59" i="3"/>
  <c r="DC54" i="3"/>
  <c r="DC43" i="3"/>
  <c r="DC61" i="3"/>
  <c r="DC64" i="3"/>
  <c r="DC66" i="3"/>
  <c r="DC68" i="3"/>
  <c r="DC70" i="3"/>
  <c r="DC63" i="3"/>
  <c r="DC41" i="3"/>
  <c r="DC62" i="3"/>
  <c r="DC65" i="3"/>
  <c r="DC67" i="3"/>
  <c r="DC69" i="3"/>
  <c r="DC44" i="3"/>
  <c r="DC72" i="3"/>
  <c r="DC74" i="3"/>
  <c r="DC76" i="3"/>
  <c r="DC14" i="3"/>
  <c r="DC71" i="3"/>
  <c r="DC73" i="3"/>
  <c r="DC75" i="3"/>
  <c r="DC18" i="4"/>
  <c r="DC21" i="4"/>
  <c r="DC24" i="4"/>
  <c r="DC23" i="4"/>
  <c r="DC28" i="4"/>
  <c r="DC19" i="4"/>
  <c r="DC20" i="4"/>
  <c r="DC22" i="4"/>
  <c r="DC26" i="4"/>
  <c r="DC17" i="4"/>
  <c r="DC25" i="4"/>
  <c r="DC27" i="4"/>
  <c r="DC15" i="4"/>
  <c r="DC12" i="3"/>
  <c r="DD13" i="3"/>
  <c r="DD16" i="4"/>
  <c r="DD19" i="4" l="1"/>
  <c r="DD18" i="4"/>
  <c r="DD21" i="4"/>
  <c r="DD28" i="4"/>
  <c r="DD27" i="4"/>
  <c r="DD22" i="4"/>
  <c r="DD25" i="4"/>
  <c r="DD26" i="4"/>
  <c r="DD23" i="4"/>
  <c r="DD20" i="4"/>
  <c r="DD17" i="4"/>
  <c r="DD24" i="4"/>
  <c r="DD72" i="3"/>
  <c r="DD16" i="3"/>
  <c r="DD76" i="3"/>
  <c r="DD74" i="3"/>
  <c r="DD15" i="3"/>
  <c r="DD21" i="3"/>
  <c r="DD23" i="3"/>
  <c r="DD19" i="3"/>
  <c r="DD20" i="3"/>
  <c r="DD22" i="3"/>
  <c r="DD17" i="3"/>
  <c r="DD18" i="3"/>
  <c r="DD24" i="3"/>
  <c r="DD31" i="3"/>
  <c r="DD29" i="3"/>
  <c r="DD25" i="3"/>
  <c r="DD27" i="3"/>
  <c r="DD28" i="3"/>
  <c r="DD30" i="3"/>
  <c r="DD32" i="3"/>
  <c r="DD34" i="3"/>
  <c r="DD26" i="3"/>
  <c r="DD33" i="3"/>
  <c r="DD36" i="3"/>
  <c r="DD35" i="3"/>
  <c r="DD38" i="3"/>
  <c r="DD41" i="3"/>
  <c r="DD43" i="3"/>
  <c r="DD40" i="3"/>
  <c r="DD42" i="3"/>
  <c r="DD44" i="3"/>
  <c r="DD45" i="3"/>
  <c r="DD37" i="3"/>
  <c r="DD39" i="3"/>
  <c r="DD48" i="3"/>
  <c r="DD46" i="3"/>
  <c r="DD53" i="3"/>
  <c r="DD56" i="3"/>
  <c r="DD58" i="3"/>
  <c r="DD60" i="3"/>
  <c r="DD67" i="3"/>
  <c r="DD55" i="3"/>
  <c r="DD51" i="3"/>
  <c r="DD57" i="3"/>
  <c r="DD59" i="3"/>
  <c r="DD47" i="3"/>
  <c r="DD52" i="3"/>
  <c r="DD50" i="3"/>
  <c r="DD62" i="3"/>
  <c r="DD65" i="3"/>
  <c r="DD63" i="3"/>
  <c r="DD49" i="3"/>
  <c r="DD66" i="3"/>
  <c r="DD69" i="3"/>
  <c r="DD61" i="3"/>
  <c r="DD68" i="3"/>
  <c r="DD64" i="3"/>
  <c r="DD54" i="3"/>
  <c r="DD70" i="3"/>
  <c r="DD14" i="3"/>
  <c r="DD73" i="3"/>
  <c r="DD71" i="3"/>
  <c r="DD75" i="3"/>
  <c r="DD15" i="4"/>
  <c r="DD12" i="3"/>
  <c r="DE13" i="3"/>
  <c r="DE16" i="4"/>
  <c r="DE17" i="4" l="1"/>
  <c r="DE27" i="4"/>
  <c r="DE21" i="4"/>
  <c r="DE19" i="4"/>
  <c r="DE18" i="4"/>
  <c r="DE25" i="4"/>
  <c r="DE28" i="4"/>
  <c r="DE22" i="4"/>
  <c r="DE20" i="4"/>
  <c r="DE23" i="4"/>
  <c r="DE24" i="4"/>
  <c r="DE26" i="4"/>
  <c r="DE70" i="3"/>
  <c r="DE16" i="3"/>
  <c r="DE15" i="3"/>
  <c r="DE18" i="3"/>
  <c r="DE20" i="3"/>
  <c r="DE21" i="3"/>
  <c r="DE23" i="3"/>
  <c r="DE22" i="3"/>
  <c r="DE26" i="3"/>
  <c r="DE17" i="3"/>
  <c r="DE28" i="3"/>
  <c r="DE25" i="3"/>
  <c r="DE24" i="3"/>
  <c r="DE27" i="3"/>
  <c r="DE29" i="3"/>
  <c r="DE19" i="3"/>
  <c r="DE37" i="3"/>
  <c r="DE31" i="3"/>
  <c r="DE33" i="3"/>
  <c r="DE35" i="3"/>
  <c r="DE32" i="3"/>
  <c r="DE34" i="3"/>
  <c r="DE38" i="3"/>
  <c r="DE42" i="3"/>
  <c r="DE46" i="3"/>
  <c r="DE41" i="3"/>
  <c r="DE39" i="3"/>
  <c r="DE30" i="3"/>
  <c r="DE36" i="3"/>
  <c r="DE43" i="3"/>
  <c r="DE48" i="3"/>
  <c r="DE50" i="3"/>
  <c r="DE52" i="3"/>
  <c r="DE54" i="3"/>
  <c r="DE44" i="3"/>
  <c r="DE45" i="3"/>
  <c r="DE47" i="3"/>
  <c r="DE49" i="3"/>
  <c r="DE51" i="3"/>
  <c r="DE53" i="3"/>
  <c r="DE55" i="3"/>
  <c r="DE57" i="3"/>
  <c r="DE59" i="3"/>
  <c r="DE61" i="3"/>
  <c r="DE63" i="3"/>
  <c r="DE65" i="3"/>
  <c r="DE71" i="3"/>
  <c r="DE73" i="3"/>
  <c r="DE56" i="3"/>
  <c r="DE58" i="3"/>
  <c r="DE60" i="3"/>
  <c r="DE62" i="3"/>
  <c r="DE64" i="3"/>
  <c r="DE40" i="3"/>
  <c r="DE75" i="3"/>
  <c r="DE69" i="3"/>
  <c r="DE72" i="3"/>
  <c r="DE76" i="3"/>
  <c r="DE74" i="3"/>
  <c r="DE67" i="3"/>
  <c r="DE66" i="3"/>
  <c r="DE14" i="3"/>
  <c r="DE68" i="3"/>
  <c r="DE15" i="4"/>
  <c r="DE12" i="3"/>
  <c r="DF13" i="3"/>
  <c r="DF16" i="4"/>
  <c r="DF17" i="4" l="1"/>
  <c r="DF28" i="4"/>
  <c r="DF22" i="4"/>
  <c r="DF23" i="4"/>
  <c r="DF26" i="4"/>
  <c r="DF18" i="4"/>
  <c r="DF21" i="4"/>
  <c r="DF20" i="4"/>
  <c r="DF25" i="4"/>
  <c r="DF27" i="4"/>
  <c r="DF24" i="4"/>
  <c r="DF19" i="4"/>
  <c r="DF17" i="3"/>
  <c r="DF19" i="3"/>
  <c r="DF16" i="3"/>
  <c r="DF15" i="3"/>
  <c r="DF18" i="3"/>
  <c r="DF21" i="3"/>
  <c r="DF20" i="3"/>
  <c r="DF22" i="3"/>
  <c r="DF25" i="3"/>
  <c r="DF24" i="3"/>
  <c r="DF26" i="3"/>
  <c r="DF28" i="3"/>
  <c r="DF41" i="3"/>
  <c r="DF30" i="3"/>
  <c r="DF23" i="3"/>
  <c r="DF27" i="3"/>
  <c r="DF29" i="3"/>
  <c r="DF31" i="3"/>
  <c r="DF40" i="3"/>
  <c r="DF44" i="3"/>
  <c r="DF35" i="3"/>
  <c r="DF39" i="3"/>
  <c r="DF38" i="3"/>
  <c r="DF42" i="3"/>
  <c r="DF43" i="3"/>
  <c r="DF45" i="3"/>
  <c r="DF34" i="3"/>
  <c r="DF32" i="3"/>
  <c r="DF37" i="3"/>
  <c r="DF49" i="3"/>
  <c r="DF54" i="3"/>
  <c r="DF47" i="3"/>
  <c r="DF52" i="3"/>
  <c r="DF33" i="3"/>
  <c r="DF51" i="3"/>
  <c r="DF46" i="3"/>
  <c r="DF48" i="3"/>
  <c r="DF50" i="3"/>
  <c r="DF58" i="3"/>
  <c r="DF62" i="3"/>
  <c r="DF68" i="3"/>
  <c r="DF36" i="3"/>
  <c r="DF56" i="3"/>
  <c r="DF61" i="3"/>
  <c r="DF65" i="3"/>
  <c r="DF53" i="3"/>
  <c r="DF55" i="3"/>
  <c r="DF60" i="3"/>
  <c r="DF63" i="3"/>
  <c r="DF66" i="3"/>
  <c r="DF14" i="3"/>
  <c r="DF76" i="3"/>
  <c r="DF67" i="3"/>
  <c r="DF75" i="3"/>
  <c r="DF69" i="3"/>
  <c r="DF64" i="3"/>
  <c r="DF74" i="3"/>
  <c r="DF59" i="3"/>
  <c r="DF70" i="3"/>
  <c r="DF71" i="3"/>
  <c r="DF72" i="3"/>
  <c r="DF73" i="3"/>
  <c r="DF57" i="3"/>
  <c r="DF15" i="4"/>
  <c r="DF12" i="3"/>
  <c r="DG13" i="3"/>
  <c r="DG16" i="4"/>
  <c r="DG27" i="4" l="1"/>
  <c r="DG17" i="4"/>
  <c r="DG25" i="4"/>
  <c r="DG19" i="4"/>
  <c r="DG23" i="4"/>
  <c r="DG20" i="4"/>
  <c r="DG22" i="4"/>
  <c r="DG28" i="4"/>
  <c r="DG18" i="4"/>
  <c r="DG21" i="4"/>
  <c r="DG26" i="4"/>
  <c r="DG24" i="4"/>
  <c r="DG15" i="3"/>
  <c r="DG16" i="3"/>
  <c r="DG18" i="3"/>
  <c r="DG17" i="3"/>
  <c r="DG19" i="3"/>
  <c r="DG22" i="3"/>
  <c r="DG23" i="3"/>
  <c r="DG21" i="3"/>
  <c r="DG28" i="3"/>
  <c r="DG30" i="3"/>
  <c r="DG20" i="3"/>
  <c r="DG32" i="3"/>
  <c r="DG27" i="3"/>
  <c r="DG29" i="3"/>
  <c r="DG31" i="3"/>
  <c r="DG26" i="3"/>
  <c r="DG36" i="3"/>
  <c r="DG38" i="3"/>
  <c r="DG25" i="3"/>
  <c r="DG33" i="3"/>
  <c r="DG35" i="3"/>
  <c r="DG34" i="3"/>
  <c r="DG37" i="3"/>
  <c r="DG39" i="3"/>
  <c r="DG24" i="3"/>
  <c r="DG45" i="3"/>
  <c r="DG40" i="3"/>
  <c r="DG41" i="3"/>
  <c r="DG57" i="3"/>
  <c r="DG59" i="3"/>
  <c r="DG61" i="3"/>
  <c r="DG63" i="3"/>
  <c r="DG46" i="3"/>
  <c r="DG48" i="3"/>
  <c r="DG50" i="3"/>
  <c r="DG52" i="3"/>
  <c r="DG43" i="3"/>
  <c r="DG44" i="3"/>
  <c r="DG42" i="3"/>
  <c r="DG47" i="3"/>
  <c r="DG49" i="3"/>
  <c r="DG51" i="3"/>
  <c r="DG62" i="3"/>
  <c r="DG65" i="3"/>
  <c r="DG67" i="3"/>
  <c r="DG69" i="3"/>
  <c r="DG54" i="3"/>
  <c r="DG60" i="3"/>
  <c r="DG58" i="3"/>
  <c r="DG64" i="3"/>
  <c r="DG66" i="3"/>
  <c r="DG68" i="3"/>
  <c r="DG70" i="3"/>
  <c r="DG56" i="3"/>
  <c r="DG53" i="3"/>
  <c r="DG55" i="3"/>
  <c r="DG14" i="3"/>
  <c r="DG71" i="3"/>
  <c r="DG73" i="3"/>
  <c r="DG75" i="3"/>
  <c r="DG74" i="3"/>
  <c r="DG76" i="3"/>
  <c r="DG72" i="3"/>
  <c r="DG15" i="4"/>
  <c r="DG12" i="3"/>
  <c r="DH13" i="3"/>
  <c r="DH16" i="4"/>
  <c r="DH18" i="4" l="1"/>
  <c r="DH20" i="4"/>
  <c r="DH26" i="4"/>
  <c r="DH25" i="4"/>
  <c r="DH24" i="4"/>
  <c r="DH19" i="4"/>
  <c r="DH17" i="4"/>
  <c r="DH27" i="4"/>
  <c r="DH28" i="4"/>
  <c r="DH23" i="4"/>
  <c r="DH22" i="4"/>
  <c r="DH21" i="4"/>
  <c r="DH71" i="3"/>
  <c r="DH73" i="3"/>
  <c r="DH67" i="3"/>
  <c r="DH75" i="3"/>
  <c r="DH16" i="3"/>
  <c r="DH18" i="3"/>
  <c r="DH19" i="3"/>
  <c r="DH15" i="3"/>
  <c r="DH17" i="3"/>
  <c r="DH21" i="3"/>
  <c r="DH20" i="3"/>
  <c r="DH23" i="3"/>
  <c r="DH22" i="3"/>
  <c r="DH25" i="3"/>
  <c r="DH27" i="3"/>
  <c r="DH24" i="3"/>
  <c r="DH26" i="3"/>
  <c r="DH33" i="3"/>
  <c r="DH29" i="3"/>
  <c r="DH32" i="3"/>
  <c r="DH34" i="3"/>
  <c r="DH28" i="3"/>
  <c r="DH30" i="3"/>
  <c r="DH36" i="3"/>
  <c r="DH40" i="3"/>
  <c r="DH42" i="3"/>
  <c r="DH31" i="3"/>
  <c r="DH38" i="3"/>
  <c r="DH37" i="3"/>
  <c r="DH41" i="3"/>
  <c r="DH43" i="3"/>
  <c r="DH35" i="3"/>
  <c r="DH39" i="3"/>
  <c r="DH53" i="3"/>
  <c r="DH45" i="3"/>
  <c r="DH55" i="3"/>
  <c r="DH49" i="3"/>
  <c r="DH57" i="3"/>
  <c r="DH59" i="3"/>
  <c r="DH44" i="3"/>
  <c r="DH52" i="3"/>
  <c r="DH54" i="3"/>
  <c r="DH48" i="3"/>
  <c r="DH51" i="3"/>
  <c r="DH56" i="3"/>
  <c r="DH58" i="3"/>
  <c r="DH60" i="3"/>
  <c r="DH46" i="3"/>
  <c r="DH50" i="3"/>
  <c r="DH47" i="3"/>
  <c r="DH64" i="3"/>
  <c r="DH76" i="3"/>
  <c r="DH63" i="3"/>
  <c r="DH66" i="3"/>
  <c r="DH62" i="3"/>
  <c r="DH68" i="3"/>
  <c r="DH70" i="3"/>
  <c r="DH61" i="3"/>
  <c r="DH65" i="3"/>
  <c r="DH14" i="3"/>
  <c r="DH69" i="3"/>
  <c r="DH72" i="3"/>
  <c r="DH74" i="3"/>
  <c r="DH15" i="4"/>
  <c r="DH12" i="3"/>
  <c r="DI13" i="3"/>
  <c r="DI16" i="4"/>
  <c r="DI19" i="4" l="1"/>
  <c r="DI22" i="4"/>
  <c r="DI23" i="4"/>
  <c r="DI17" i="4"/>
  <c r="DI21" i="4"/>
  <c r="DI28" i="4"/>
  <c r="DI27" i="4"/>
  <c r="DI20" i="4"/>
  <c r="DI18" i="4"/>
  <c r="DI24" i="4"/>
  <c r="DI26" i="4"/>
  <c r="DI25" i="4"/>
  <c r="DI15" i="3"/>
  <c r="DI16" i="3"/>
  <c r="DI20" i="3"/>
  <c r="DI18" i="3"/>
  <c r="DI14" i="3"/>
  <c r="DI19" i="3"/>
  <c r="DI17" i="3"/>
  <c r="DI23" i="3"/>
  <c r="DI27" i="3"/>
  <c r="DI29" i="3"/>
  <c r="DI25" i="3"/>
  <c r="DI31" i="3"/>
  <c r="DI24" i="3"/>
  <c r="DI22" i="3"/>
  <c r="DI28" i="3"/>
  <c r="DI26" i="3"/>
  <c r="DI32" i="3"/>
  <c r="DI34" i="3"/>
  <c r="DI21" i="3"/>
  <c r="DI30" i="3"/>
  <c r="DI33" i="3"/>
  <c r="DI35" i="3"/>
  <c r="DI36" i="3"/>
  <c r="DI40" i="3"/>
  <c r="DI38" i="3"/>
  <c r="DI46" i="3"/>
  <c r="DI43" i="3"/>
  <c r="DI44" i="3"/>
  <c r="DI48" i="3"/>
  <c r="DI50" i="3"/>
  <c r="DI52" i="3"/>
  <c r="DI54" i="3"/>
  <c r="DI42" i="3"/>
  <c r="DI45" i="3"/>
  <c r="DI41" i="3"/>
  <c r="DI47" i="3"/>
  <c r="DI49" i="3"/>
  <c r="DI51" i="3"/>
  <c r="DI53" i="3"/>
  <c r="DI55" i="3"/>
  <c r="DI37" i="3"/>
  <c r="DI57" i="3"/>
  <c r="DI59" i="3"/>
  <c r="DI61" i="3"/>
  <c r="DI63" i="3"/>
  <c r="DI65" i="3"/>
  <c r="DI39" i="3"/>
  <c r="DI56" i="3"/>
  <c r="DI58" i="3"/>
  <c r="DI60" i="3"/>
  <c r="DI62" i="3"/>
  <c r="DI64" i="3"/>
  <c r="DI71" i="3"/>
  <c r="DI74" i="3"/>
  <c r="DI70" i="3"/>
  <c r="DI67" i="3"/>
  <c r="DI73" i="3"/>
  <c r="DI75" i="3"/>
  <c r="DI66" i="3"/>
  <c r="DI69" i="3"/>
  <c r="DI72" i="3"/>
  <c r="DI76" i="3"/>
  <c r="DI68" i="3"/>
  <c r="DI15" i="4"/>
  <c r="DI12" i="3"/>
  <c r="DJ13" i="3"/>
  <c r="DJ16" i="4"/>
  <c r="DJ19" i="4" l="1"/>
  <c r="DJ22" i="4"/>
  <c r="DJ28" i="4"/>
  <c r="DJ27" i="4"/>
  <c r="DJ18" i="4"/>
  <c r="DJ20" i="4"/>
  <c r="DJ24" i="4"/>
  <c r="DJ21" i="4"/>
  <c r="DJ23" i="4"/>
  <c r="DJ25" i="4"/>
  <c r="DJ26" i="4"/>
  <c r="DJ17" i="4"/>
  <c r="DJ15" i="3"/>
  <c r="DJ70" i="3"/>
  <c r="DJ68" i="3"/>
  <c r="DJ16" i="3"/>
  <c r="DJ18" i="3"/>
  <c r="DJ17" i="3"/>
  <c r="DJ19" i="3"/>
  <c r="DJ21" i="3"/>
  <c r="DJ20" i="3"/>
  <c r="DJ24" i="3"/>
  <c r="DJ26" i="3"/>
  <c r="DJ22" i="3"/>
  <c r="DJ25" i="3"/>
  <c r="DJ23" i="3"/>
  <c r="DJ33" i="3"/>
  <c r="DJ28" i="3"/>
  <c r="DJ31" i="3"/>
  <c r="DJ27" i="3"/>
  <c r="DJ36" i="3"/>
  <c r="DJ40" i="3"/>
  <c r="DJ44" i="3"/>
  <c r="DJ34" i="3"/>
  <c r="DJ38" i="3"/>
  <c r="DJ42" i="3"/>
  <c r="DJ32" i="3"/>
  <c r="DJ37" i="3"/>
  <c r="DJ39" i="3"/>
  <c r="DJ41" i="3"/>
  <c r="DJ43" i="3"/>
  <c r="DJ45" i="3"/>
  <c r="DJ46" i="3"/>
  <c r="DJ48" i="3"/>
  <c r="DJ47" i="3"/>
  <c r="DJ29" i="3"/>
  <c r="DJ30" i="3"/>
  <c r="DJ35" i="3"/>
  <c r="DJ50" i="3"/>
  <c r="DJ49" i="3"/>
  <c r="DJ53" i="3"/>
  <c r="DJ52" i="3"/>
  <c r="DJ55" i="3"/>
  <c r="DJ51" i="3"/>
  <c r="DJ71" i="3"/>
  <c r="DJ67" i="3"/>
  <c r="DJ76" i="3"/>
  <c r="DJ61" i="3"/>
  <c r="DJ65" i="3"/>
  <c r="DJ14" i="3"/>
  <c r="DJ54" i="3"/>
  <c r="DJ59" i="3"/>
  <c r="DJ60" i="3"/>
  <c r="DJ69" i="3"/>
  <c r="DJ72" i="3"/>
  <c r="DJ66" i="3"/>
  <c r="DJ64" i="3"/>
  <c r="DJ74" i="3"/>
  <c r="DJ75" i="3"/>
  <c r="DJ57" i="3"/>
  <c r="DJ58" i="3"/>
  <c r="DJ63" i="3"/>
  <c r="DJ73" i="3"/>
  <c r="DJ56" i="3"/>
  <c r="DJ62" i="3"/>
  <c r="DJ15" i="4"/>
  <c r="DJ12" i="3"/>
  <c r="DK13" i="3"/>
  <c r="DK16" i="4"/>
  <c r="DK22" i="4" l="1"/>
  <c r="DK24" i="4"/>
  <c r="DK27" i="4"/>
  <c r="DK17" i="4"/>
  <c r="DK19" i="4"/>
  <c r="DK23" i="4"/>
  <c r="DK18" i="4"/>
  <c r="DK25" i="4"/>
  <c r="DK20" i="4"/>
  <c r="DK21" i="4"/>
  <c r="DK26" i="4"/>
  <c r="DK28" i="4"/>
  <c r="DK17" i="3"/>
  <c r="DK16" i="3"/>
  <c r="DK15" i="3"/>
  <c r="DK22" i="3"/>
  <c r="DK19" i="3"/>
  <c r="DK21" i="3"/>
  <c r="DK20" i="3"/>
  <c r="DK24" i="3"/>
  <c r="DK33" i="3"/>
  <c r="DK35" i="3"/>
  <c r="DK28" i="3"/>
  <c r="DK30" i="3"/>
  <c r="DK23" i="3"/>
  <c r="DK26" i="3"/>
  <c r="DK27" i="3"/>
  <c r="DK29" i="3"/>
  <c r="DK31" i="3"/>
  <c r="DK25" i="3"/>
  <c r="DK18" i="3"/>
  <c r="DK34" i="3"/>
  <c r="DK37" i="3"/>
  <c r="DK39" i="3"/>
  <c r="DK32" i="3"/>
  <c r="DK36" i="3"/>
  <c r="DK38" i="3"/>
  <c r="DK40" i="3"/>
  <c r="DK47" i="3"/>
  <c r="DK49" i="3"/>
  <c r="DK51" i="3"/>
  <c r="DK44" i="3"/>
  <c r="DK54" i="3"/>
  <c r="DK57" i="3"/>
  <c r="DK59" i="3"/>
  <c r="DK46" i="3"/>
  <c r="DK48" i="3"/>
  <c r="DK50" i="3"/>
  <c r="DK52" i="3"/>
  <c r="DK43" i="3"/>
  <c r="DK56" i="3"/>
  <c r="DK58" i="3"/>
  <c r="DK60" i="3"/>
  <c r="DK55" i="3"/>
  <c r="DK62" i="3"/>
  <c r="DK65" i="3"/>
  <c r="DK67" i="3"/>
  <c r="DK69" i="3"/>
  <c r="DK45" i="3"/>
  <c r="DK61" i="3"/>
  <c r="DK42" i="3"/>
  <c r="DK63" i="3"/>
  <c r="DK64" i="3"/>
  <c r="DK66" i="3"/>
  <c r="DK68" i="3"/>
  <c r="DK70" i="3"/>
  <c r="DK41" i="3"/>
  <c r="DK53" i="3"/>
  <c r="DK71" i="3"/>
  <c r="DK73" i="3"/>
  <c r="DK75" i="3"/>
  <c r="DK72" i="3"/>
  <c r="DK74" i="3"/>
  <c r="DK14" i="3"/>
  <c r="DK76" i="3"/>
  <c r="DK15" i="4"/>
  <c r="DK12" i="3"/>
  <c r="DL13" i="3"/>
  <c r="DL16" i="4"/>
  <c r="DL19" i="4" l="1"/>
  <c r="DL18" i="4"/>
  <c r="DL21" i="4"/>
  <c r="DL17" i="4"/>
  <c r="DL23" i="4"/>
  <c r="DL25" i="4"/>
  <c r="DL28" i="4"/>
  <c r="DL22" i="4"/>
  <c r="DL26" i="4"/>
  <c r="DL27" i="4"/>
  <c r="DL20" i="4"/>
  <c r="DL24" i="4"/>
  <c r="DL15" i="3"/>
  <c r="DL73" i="3"/>
  <c r="DL16" i="3"/>
  <c r="DL19" i="3"/>
  <c r="DL20" i="3"/>
  <c r="DL22" i="3"/>
  <c r="DL75" i="3"/>
  <c r="DL21" i="3"/>
  <c r="DL23" i="3"/>
  <c r="DL18" i="3"/>
  <c r="DL17" i="3"/>
  <c r="DL24" i="3"/>
  <c r="DL25" i="3"/>
  <c r="DL26" i="3"/>
  <c r="DL28" i="3"/>
  <c r="DL27" i="3"/>
  <c r="DL29" i="3"/>
  <c r="DL30" i="3"/>
  <c r="DL31" i="3"/>
  <c r="DL33" i="3"/>
  <c r="DL35" i="3"/>
  <c r="DL32" i="3"/>
  <c r="DL34" i="3"/>
  <c r="DL37" i="3"/>
  <c r="DL43" i="3"/>
  <c r="DL39" i="3"/>
  <c r="DL40" i="3"/>
  <c r="DL42" i="3"/>
  <c r="DL36" i="3"/>
  <c r="DL41" i="3"/>
  <c r="DL45" i="3"/>
  <c r="DL38" i="3"/>
  <c r="DL44" i="3"/>
  <c r="DL47" i="3"/>
  <c r="DL46" i="3"/>
  <c r="DL66" i="3"/>
  <c r="DL54" i="3"/>
  <c r="DL57" i="3"/>
  <c r="DL59" i="3"/>
  <c r="DL68" i="3"/>
  <c r="DL52" i="3"/>
  <c r="DL56" i="3"/>
  <c r="DL58" i="3"/>
  <c r="DL60" i="3"/>
  <c r="DL48" i="3"/>
  <c r="DL70" i="3"/>
  <c r="DL51" i="3"/>
  <c r="DL14" i="3"/>
  <c r="DL72" i="3"/>
  <c r="DL71" i="3"/>
  <c r="DL63" i="3"/>
  <c r="DL53" i="3"/>
  <c r="DL50" i="3"/>
  <c r="DL55" i="3"/>
  <c r="DL67" i="3"/>
  <c r="DL65" i="3"/>
  <c r="DL69" i="3"/>
  <c r="DL62" i="3"/>
  <c r="DL49" i="3"/>
  <c r="DL61" i="3"/>
  <c r="DL64" i="3"/>
  <c r="DL76" i="3"/>
  <c r="DL74" i="3"/>
  <c r="DL15" i="4"/>
  <c r="DL12" i="3"/>
  <c r="DM13" i="3"/>
  <c r="DM16" i="4"/>
  <c r="DM22" i="4" l="1"/>
  <c r="DM18" i="4"/>
  <c r="DM25" i="4"/>
  <c r="DM17" i="4"/>
  <c r="DM20" i="4"/>
  <c r="DM28" i="4"/>
  <c r="DM19" i="4"/>
  <c r="DM26" i="4"/>
  <c r="DM24" i="4"/>
  <c r="DM27" i="4"/>
  <c r="DM21" i="4"/>
  <c r="DM23" i="4"/>
  <c r="DM14" i="3"/>
  <c r="DM15" i="3"/>
  <c r="DM16" i="3"/>
  <c r="DM17" i="3"/>
  <c r="DM20" i="3"/>
  <c r="DM23" i="3"/>
  <c r="DM19" i="3"/>
  <c r="DM18" i="3"/>
  <c r="DM22" i="3"/>
  <c r="DM21" i="3"/>
  <c r="DM24" i="3"/>
  <c r="DM26" i="3"/>
  <c r="DM27" i="3"/>
  <c r="DM29" i="3"/>
  <c r="DM25" i="3"/>
  <c r="DM28" i="3"/>
  <c r="DM30" i="3"/>
  <c r="DM38" i="3"/>
  <c r="DM32" i="3"/>
  <c r="DM34" i="3"/>
  <c r="DM33" i="3"/>
  <c r="DM35" i="3"/>
  <c r="DM36" i="3"/>
  <c r="DM31" i="3"/>
  <c r="DM39" i="3"/>
  <c r="DM42" i="3"/>
  <c r="DM37" i="3"/>
  <c r="DM47" i="3"/>
  <c r="DM49" i="3"/>
  <c r="DM51" i="3"/>
  <c r="DM53" i="3"/>
  <c r="DM55" i="3"/>
  <c r="DM40" i="3"/>
  <c r="DM45" i="3"/>
  <c r="DM41" i="3"/>
  <c r="DM46" i="3"/>
  <c r="DM48" i="3"/>
  <c r="DM50" i="3"/>
  <c r="DM52" i="3"/>
  <c r="DM54" i="3"/>
  <c r="DM43" i="3"/>
  <c r="DM56" i="3"/>
  <c r="DM58" i="3"/>
  <c r="DM60" i="3"/>
  <c r="DM62" i="3"/>
  <c r="DM64" i="3"/>
  <c r="DM72" i="3"/>
  <c r="DM74" i="3"/>
  <c r="DM57" i="3"/>
  <c r="DM59" i="3"/>
  <c r="DM61" i="3"/>
  <c r="DM63" i="3"/>
  <c r="DM65" i="3"/>
  <c r="DM76" i="3"/>
  <c r="DM44" i="3"/>
  <c r="DM71" i="3"/>
  <c r="DM73" i="3"/>
  <c r="DM75" i="3"/>
  <c r="DM66" i="3"/>
  <c r="DM68" i="3"/>
  <c r="DM70" i="3"/>
  <c r="DM67" i="3"/>
  <c r="DM69" i="3"/>
  <c r="DM15" i="4"/>
  <c r="DM12" i="3"/>
  <c r="DN13" i="3"/>
  <c r="DN16" i="4"/>
  <c r="DN19" i="4" l="1"/>
  <c r="DN24" i="4"/>
  <c r="DN17" i="4"/>
  <c r="DN18" i="4"/>
  <c r="DN20" i="4"/>
  <c r="DN25" i="4"/>
  <c r="DN27" i="4"/>
  <c r="DN26" i="4"/>
  <c r="DN21" i="4"/>
  <c r="DN28" i="4"/>
  <c r="DN23" i="4"/>
  <c r="DN22" i="4"/>
  <c r="DN15" i="3"/>
  <c r="DN18" i="3"/>
  <c r="DN16" i="3"/>
  <c r="DN19" i="3"/>
  <c r="DN20" i="3"/>
  <c r="DN22" i="3"/>
  <c r="DN17" i="3"/>
  <c r="DN21" i="3"/>
  <c r="DN24" i="3"/>
  <c r="DN26" i="3"/>
  <c r="DN23" i="3"/>
  <c r="DN25" i="3"/>
  <c r="DN27" i="3"/>
  <c r="DN29" i="3"/>
  <c r="DN40" i="3"/>
  <c r="DN42" i="3"/>
  <c r="DN28" i="3"/>
  <c r="DN30" i="3"/>
  <c r="DN31" i="3"/>
  <c r="DN41" i="3"/>
  <c r="DN43" i="3"/>
  <c r="DN45" i="3"/>
  <c r="DN35" i="3"/>
  <c r="DN44" i="3"/>
  <c r="DN36" i="3"/>
  <c r="DN33" i="3"/>
  <c r="DN38" i="3"/>
  <c r="DN39" i="3"/>
  <c r="DN34" i="3"/>
  <c r="DN50" i="3"/>
  <c r="DN55" i="3"/>
  <c r="DN46" i="3"/>
  <c r="DN48" i="3"/>
  <c r="DN49" i="3"/>
  <c r="DN32" i="3"/>
  <c r="DN52" i="3"/>
  <c r="DN47" i="3"/>
  <c r="DN51" i="3"/>
  <c r="DN53" i="3"/>
  <c r="DN59" i="3"/>
  <c r="DN63" i="3"/>
  <c r="DN69" i="3"/>
  <c r="DN57" i="3"/>
  <c r="DN62" i="3"/>
  <c r="DN54" i="3"/>
  <c r="DN64" i="3"/>
  <c r="DN67" i="3"/>
  <c r="DN72" i="3"/>
  <c r="DN73" i="3"/>
  <c r="DN56" i="3"/>
  <c r="DN68" i="3"/>
  <c r="DN76" i="3"/>
  <c r="DN75" i="3"/>
  <c r="DN70" i="3"/>
  <c r="DN65" i="3"/>
  <c r="DN14" i="3"/>
  <c r="DN37" i="3"/>
  <c r="DN60" i="3"/>
  <c r="DN61" i="3"/>
  <c r="DN74" i="3"/>
  <c r="DN71" i="3"/>
  <c r="DN58" i="3"/>
  <c r="DN66" i="3"/>
  <c r="DN15" i="4"/>
  <c r="DN12" i="3"/>
  <c r="DO13" i="3"/>
  <c r="DO16" i="4"/>
  <c r="DO18" i="4" l="1"/>
  <c r="DO20" i="4"/>
  <c r="DO21" i="4"/>
  <c r="DO23" i="4"/>
  <c r="DO17" i="4"/>
  <c r="DO24" i="4"/>
  <c r="DO28" i="4"/>
  <c r="DO25" i="4"/>
  <c r="DO22" i="4"/>
  <c r="DO27" i="4"/>
  <c r="DO19" i="4"/>
  <c r="DO26" i="4"/>
  <c r="DO15" i="3"/>
  <c r="DO18" i="3"/>
  <c r="DO17" i="3"/>
  <c r="DO16" i="3"/>
  <c r="DO19" i="3"/>
  <c r="DO20" i="3"/>
  <c r="DO22" i="3"/>
  <c r="DO21" i="3"/>
  <c r="DO23" i="3"/>
  <c r="DO27" i="3"/>
  <c r="DO29" i="3"/>
  <c r="DO31" i="3"/>
  <c r="DO33" i="3"/>
  <c r="DO28" i="3"/>
  <c r="DO30" i="3"/>
  <c r="DO32" i="3"/>
  <c r="DO34" i="3"/>
  <c r="DO37" i="3"/>
  <c r="DO39" i="3"/>
  <c r="DO35" i="3"/>
  <c r="DO36" i="3"/>
  <c r="DO38" i="3"/>
  <c r="DO25" i="3"/>
  <c r="DO24" i="3"/>
  <c r="DO40" i="3"/>
  <c r="DO26" i="3"/>
  <c r="DO42" i="3"/>
  <c r="DO56" i="3"/>
  <c r="DO58" i="3"/>
  <c r="DO60" i="3"/>
  <c r="DO62" i="3"/>
  <c r="DO41" i="3"/>
  <c r="DO43" i="3"/>
  <c r="DO47" i="3"/>
  <c r="DO49" i="3"/>
  <c r="DO51" i="3"/>
  <c r="DO44" i="3"/>
  <c r="DO45" i="3"/>
  <c r="DO46" i="3"/>
  <c r="DO48" i="3"/>
  <c r="DO50" i="3"/>
  <c r="DO52" i="3"/>
  <c r="DO63" i="3"/>
  <c r="DO64" i="3"/>
  <c r="DO66" i="3"/>
  <c r="DO68" i="3"/>
  <c r="DO70" i="3"/>
  <c r="DO55" i="3"/>
  <c r="DO54" i="3"/>
  <c r="DO59" i="3"/>
  <c r="DO65" i="3"/>
  <c r="DO67" i="3"/>
  <c r="DO69" i="3"/>
  <c r="DO57" i="3"/>
  <c r="DO61" i="3"/>
  <c r="DO53" i="3"/>
  <c r="DO14" i="3"/>
  <c r="DO71" i="3"/>
  <c r="DO72" i="3"/>
  <c r="DO74" i="3"/>
  <c r="DO76" i="3"/>
  <c r="DO75" i="3"/>
  <c r="DO73" i="3"/>
  <c r="DO15" i="4"/>
  <c r="DO12" i="3"/>
  <c r="DP13" i="3"/>
  <c r="DP16" i="4"/>
  <c r="DP19" i="4" l="1"/>
  <c r="DP20" i="4"/>
  <c r="DP22" i="4"/>
  <c r="DP25" i="4"/>
  <c r="DP18" i="4"/>
  <c r="DP24" i="4"/>
  <c r="DP26" i="4"/>
  <c r="DP27" i="4"/>
  <c r="DP23" i="4"/>
  <c r="DP17" i="4"/>
  <c r="DP21" i="4"/>
  <c r="DP28" i="4"/>
  <c r="DP72" i="3"/>
  <c r="DP68" i="3"/>
  <c r="DP74" i="3"/>
  <c r="DP15" i="3"/>
  <c r="DP76" i="3"/>
  <c r="DP17" i="3"/>
  <c r="DP16" i="3"/>
  <c r="DP18" i="3"/>
  <c r="DP22" i="3"/>
  <c r="DP21" i="3"/>
  <c r="DP20" i="3"/>
  <c r="DP23" i="3"/>
  <c r="DP24" i="3"/>
  <c r="DP19" i="3"/>
  <c r="DP25" i="3"/>
  <c r="DP27" i="3"/>
  <c r="DP26" i="3"/>
  <c r="DP32" i="3"/>
  <c r="DP34" i="3"/>
  <c r="DP30" i="3"/>
  <c r="DP33" i="3"/>
  <c r="DP29" i="3"/>
  <c r="DP31" i="3"/>
  <c r="DP28" i="3"/>
  <c r="DP37" i="3"/>
  <c r="DP39" i="3"/>
  <c r="DP35" i="3"/>
  <c r="DP41" i="3"/>
  <c r="DP36" i="3"/>
  <c r="DP38" i="3"/>
  <c r="DP40" i="3"/>
  <c r="DP42" i="3"/>
  <c r="DP44" i="3"/>
  <c r="DP54" i="3"/>
  <c r="DP50" i="3"/>
  <c r="DP56" i="3"/>
  <c r="DP58" i="3"/>
  <c r="DP60" i="3"/>
  <c r="DP53" i="3"/>
  <c r="DP49" i="3"/>
  <c r="DP55" i="3"/>
  <c r="DP43" i="3"/>
  <c r="DP52" i="3"/>
  <c r="DP57" i="3"/>
  <c r="DP59" i="3"/>
  <c r="DP45" i="3"/>
  <c r="DP47" i="3"/>
  <c r="DP51" i="3"/>
  <c r="DP66" i="3"/>
  <c r="DP61" i="3"/>
  <c r="DP65" i="3"/>
  <c r="DP70" i="3"/>
  <c r="DP64" i="3"/>
  <c r="DP67" i="3"/>
  <c r="DP48" i="3"/>
  <c r="DP63" i="3"/>
  <c r="DP69" i="3"/>
  <c r="DP62" i="3"/>
  <c r="DP46" i="3"/>
  <c r="DP73" i="3"/>
  <c r="DP14" i="3"/>
  <c r="DP75" i="3"/>
  <c r="DP71" i="3"/>
  <c r="DP15" i="4"/>
  <c r="DP12" i="3"/>
  <c r="DQ13" i="3"/>
  <c r="DQ16" i="4"/>
  <c r="DQ19" i="4" l="1"/>
  <c r="DQ22" i="4"/>
  <c r="DQ24" i="4"/>
  <c r="DQ25" i="4"/>
  <c r="DQ27" i="4"/>
  <c r="DQ28" i="4"/>
  <c r="DQ17" i="4"/>
  <c r="DQ23" i="4"/>
  <c r="DQ20" i="4"/>
  <c r="DQ21" i="4"/>
  <c r="DQ18" i="4"/>
  <c r="DQ26" i="4"/>
  <c r="DQ15" i="3"/>
  <c r="DQ20" i="3"/>
  <c r="DQ16" i="3"/>
  <c r="DQ19" i="3"/>
  <c r="DQ17" i="3"/>
  <c r="DQ18" i="3"/>
  <c r="DQ23" i="3"/>
  <c r="DQ28" i="3"/>
  <c r="DQ30" i="3"/>
  <c r="DQ26" i="3"/>
  <c r="DQ21" i="3"/>
  <c r="DQ25" i="3"/>
  <c r="DQ27" i="3"/>
  <c r="DQ29" i="3"/>
  <c r="DQ24" i="3"/>
  <c r="DQ33" i="3"/>
  <c r="DQ35" i="3"/>
  <c r="DQ31" i="3"/>
  <c r="DQ22" i="3"/>
  <c r="DQ32" i="3"/>
  <c r="DQ34" i="3"/>
  <c r="DQ37" i="3"/>
  <c r="DQ39" i="3"/>
  <c r="DQ36" i="3"/>
  <c r="DQ44" i="3"/>
  <c r="DQ43" i="3"/>
  <c r="DQ47" i="3"/>
  <c r="DQ49" i="3"/>
  <c r="DQ51" i="3"/>
  <c r="DQ53" i="3"/>
  <c r="DQ55" i="3"/>
  <c r="DQ38" i="3"/>
  <c r="DQ46" i="3"/>
  <c r="DQ40" i="3"/>
  <c r="DQ42" i="3"/>
  <c r="DQ45" i="3"/>
  <c r="DQ48" i="3"/>
  <c r="DQ50" i="3"/>
  <c r="DQ52" i="3"/>
  <c r="DQ54" i="3"/>
  <c r="DQ41" i="3"/>
  <c r="DQ56" i="3"/>
  <c r="DQ58" i="3"/>
  <c r="DQ60" i="3"/>
  <c r="DQ62" i="3"/>
  <c r="DQ64" i="3"/>
  <c r="DQ66" i="3"/>
  <c r="DQ57" i="3"/>
  <c r="DQ59" i="3"/>
  <c r="DQ61" i="3"/>
  <c r="DQ63" i="3"/>
  <c r="DQ72" i="3"/>
  <c r="DQ14" i="3"/>
  <c r="DQ70" i="3"/>
  <c r="DQ74" i="3"/>
  <c r="DQ76" i="3"/>
  <c r="DQ65" i="3"/>
  <c r="DQ71" i="3"/>
  <c r="DQ67" i="3"/>
  <c r="DQ68" i="3"/>
  <c r="DQ73" i="3"/>
  <c r="DQ75" i="3"/>
  <c r="DQ69" i="3"/>
  <c r="DQ15" i="4"/>
  <c r="DQ12" i="3"/>
  <c r="DR13" i="3"/>
  <c r="DR16" i="4"/>
  <c r="DR26" i="4" l="1"/>
  <c r="DR17" i="4"/>
  <c r="DR24" i="4"/>
  <c r="DR27" i="4"/>
  <c r="DR19" i="4"/>
  <c r="DR22" i="4"/>
  <c r="DR25" i="4"/>
  <c r="DR21" i="4"/>
  <c r="DR23" i="4"/>
  <c r="DR20" i="4"/>
  <c r="DR18" i="4"/>
  <c r="DR28" i="4"/>
  <c r="DR69" i="3"/>
  <c r="DR16" i="3"/>
  <c r="DR15" i="3"/>
  <c r="DR17" i="3"/>
  <c r="DR19" i="3"/>
  <c r="DR18" i="3"/>
  <c r="DR20" i="3"/>
  <c r="DR25" i="3"/>
  <c r="DR21" i="3"/>
  <c r="DR22" i="3"/>
  <c r="DR23" i="3"/>
  <c r="DR24" i="3"/>
  <c r="DR26" i="3"/>
  <c r="DR34" i="3"/>
  <c r="DR36" i="3"/>
  <c r="DR27" i="3"/>
  <c r="DR30" i="3"/>
  <c r="DR29" i="3"/>
  <c r="DR28" i="3"/>
  <c r="DR37" i="3"/>
  <c r="DR31" i="3"/>
  <c r="DR41" i="3"/>
  <c r="DR43" i="3"/>
  <c r="DR45" i="3"/>
  <c r="DR39" i="3"/>
  <c r="DR35" i="3"/>
  <c r="DR32" i="3"/>
  <c r="DR40" i="3"/>
  <c r="DR33" i="3"/>
  <c r="DR38" i="3"/>
  <c r="DR42" i="3"/>
  <c r="DR44" i="3"/>
  <c r="DR47" i="3"/>
  <c r="DR46" i="3"/>
  <c r="DR48" i="3"/>
  <c r="DR51" i="3"/>
  <c r="DR50" i="3"/>
  <c r="DR54" i="3"/>
  <c r="DR49" i="3"/>
  <c r="DR52" i="3"/>
  <c r="DR55" i="3"/>
  <c r="DR68" i="3"/>
  <c r="DR70" i="3"/>
  <c r="DR73" i="3"/>
  <c r="DR65" i="3"/>
  <c r="DR62" i="3"/>
  <c r="DR60" i="3"/>
  <c r="DR71" i="3"/>
  <c r="DR72" i="3"/>
  <c r="DR61" i="3"/>
  <c r="DR76" i="3"/>
  <c r="DR59" i="3"/>
  <c r="DR53" i="3"/>
  <c r="DR64" i="3"/>
  <c r="DR14" i="3"/>
  <c r="DR75" i="3"/>
  <c r="DR56" i="3"/>
  <c r="DR57" i="3"/>
  <c r="DR66" i="3"/>
  <c r="DR74" i="3"/>
  <c r="DR63" i="3"/>
  <c r="DR58" i="3"/>
  <c r="DR67" i="3"/>
  <c r="DR15" i="4"/>
  <c r="DR12" i="3"/>
  <c r="DS13" i="3"/>
  <c r="DS16" i="4"/>
  <c r="DS21" i="4" l="1"/>
  <c r="DS24" i="4"/>
  <c r="DS18" i="4"/>
  <c r="DS19" i="4"/>
  <c r="DS20" i="4"/>
  <c r="DS23" i="4"/>
  <c r="DS28" i="4"/>
  <c r="DS27" i="4"/>
  <c r="DS26" i="4"/>
  <c r="DS22" i="4"/>
  <c r="DS25" i="4"/>
  <c r="DS17" i="4"/>
  <c r="DS15" i="3"/>
  <c r="DS17" i="3"/>
  <c r="DS19" i="3"/>
  <c r="DS21" i="3"/>
  <c r="DS16" i="3"/>
  <c r="DS20" i="3"/>
  <c r="DS22" i="3"/>
  <c r="DS18" i="3"/>
  <c r="DS23" i="3"/>
  <c r="DS25" i="3"/>
  <c r="DS32" i="3"/>
  <c r="DS34" i="3"/>
  <c r="DS27" i="3"/>
  <c r="DS29" i="3"/>
  <c r="DS31" i="3"/>
  <c r="DS24" i="3"/>
  <c r="DS26" i="3"/>
  <c r="DS28" i="3"/>
  <c r="DS30" i="3"/>
  <c r="DS35" i="3"/>
  <c r="DS36" i="3"/>
  <c r="DS38" i="3"/>
  <c r="DS37" i="3"/>
  <c r="DS39" i="3"/>
  <c r="DS33" i="3"/>
  <c r="DS40" i="3"/>
  <c r="DS43" i="3"/>
  <c r="DS46" i="3"/>
  <c r="DS48" i="3"/>
  <c r="DS50" i="3"/>
  <c r="DS52" i="3"/>
  <c r="DS44" i="3"/>
  <c r="DS53" i="3"/>
  <c r="DS45" i="3"/>
  <c r="DS55" i="3"/>
  <c r="DS56" i="3"/>
  <c r="DS58" i="3"/>
  <c r="DS60" i="3"/>
  <c r="DS47" i="3"/>
  <c r="DS49" i="3"/>
  <c r="DS51" i="3"/>
  <c r="DS57" i="3"/>
  <c r="DS59" i="3"/>
  <c r="DS61" i="3"/>
  <c r="DS63" i="3"/>
  <c r="DS64" i="3"/>
  <c r="DS66" i="3"/>
  <c r="DS68" i="3"/>
  <c r="DS70" i="3"/>
  <c r="DS62" i="3"/>
  <c r="DS65" i="3"/>
  <c r="DS67" i="3"/>
  <c r="DS69" i="3"/>
  <c r="DS42" i="3"/>
  <c r="DS54" i="3"/>
  <c r="DS41" i="3"/>
  <c r="DS14" i="3"/>
  <c r="DS72" i="3"/>
  <c r="DS74" i="3"/>
  <c r="DS76" i="3"/>
  <c r="DS71" i="3"/>
  <c r="DS73" i="3"/>
  <c r="DS75" i="3"/>
  <c r="DS15" i="4"/>
  <c r="DS12" i="3"/>
</calcChain>
</file>

<file path=xl/sharedStrings.xml><?xml version="1.0" encoding="utf-8"?>
<sst xmlns="http://schemas.openxmlformats.org/spreadsheetml/2006/main" count="329" uniqueCount="232">
  <si>
    <t>PLL1 reference</t>
  </si>
  <si>
    <t>PLL1DV[MFD]</t>
  </si>
  <si>
    <t>VCO0 (min)</t>
  </si>
  <si>
    <t>VCO1 (max)</t>
  </si>
  <si>
    <t>VCO1 (min)</t>
  </si>
  <si>
    <t>VCO0 (max)</t>
  </si>
  <si>
    <t>PLL0DV[MFD]</t>
  </si>
  <si>
    <t>PLL0DV[PREDIV]</t>
  </si>
  <si>
    <t>PLL0 reference</t>
  </si>
  <si>
    <t>PLL0DV[RFDPHI]</t>
  </si>
  <si>
    <t>PLL0_PHI1 (min)</t>
  </si>
  <si>
    <t>PLL0_PHI1 (max)</t>
  </si>
  <si>
    <t>VCO frequency spec violated</t>
  </si>
  <si>
    <t>PLL1 reference frequency is out of range</t>
  </si>
  <si>
    <t>PLL1_ref (min)</t>
  </si>
  <si>
    <t>PLL1_ref (max)</t>
  </si>
  <si>
    <t>FRCDIV</t>
  </si>
  <si>
    <t>Requested f(PHI)</t>
  </si>
  <si>
    <t>PLL0DV[RFDPHI1]</t>
  </si>
  <si>
    <t>Requested F(phi)</t>
  </si>
  <si>
    <t>F(phi) greater than requested</t>
  </si>
  <si>
    <t>Do not change these numbers</t>
  </si>
  <si>
    <t>PLL0_VCO  (min)</t>
  </si>
  <si>
    <t>PLL1_VCO (min)</t>
  </si>
  <si>
    <t>PLL0_VCO (max)</t>
  </si>
  <si>
    <t>PLL1_VCO (max)</t>
  </si>
  <si>
    <t>CHKR_CLK, SYS_CLK</t>
  </si>
  <si>
    <t>PBRIDGE_0/1</t>
  </si>
  <si>
    <t>MOTC_CLK</t>
  </si>
  <si>
    <t>HALFSYS_CLK</t>
  </si>
  <si>
    <t>Clock Name</t>
  </si>
  <si>
    <t>Max (MHz)</t>
  </si>
  <si>
    <t>ADC</t>
  </si>
  <si>
    <t>SGEN</t>
  </si>
  <si>
    <t>LFAST</t>
  </si>
  <si>
    <t>FRAY_CLK</t>
  </si>
  <si>
    <t>CAN_CLK</t>
  </si>
  <si>
    <t>SENT_CLK</t>
  </si>
  <si>
    <t>Ethernet</t>
  </si>
  <si>
    <t>ENET_CLK</t>
  </si>
  <si>
    <t>ENET_TIME_CLK</t>
  </si>
  <si>
    <t>PLL1DV[RFDPHI]</t>
  </si>
  <si>
    <r>
      <t xml:space="preserve">If </t>
    </r>
    <r>
      <rPr>
        <sz val="10"/>
        <color rgb="FFFF0000"/>
        <rFont val="Calibri"/>
        <family val="2"/>
        <scheme val="minor"/>
      </rPr>
      <t>RED</t>
    </r>
    <r>
      <rPr>
        <sz val="10"/>
        <color theme="1"/>
        <rFont val="Calibri"/>
        <family val="2"/>
        <scheme val="minor"/>
      </rPr>
      <t>: (PLL0 reference / PREDIV) not within PFD min/max specs. Choose a different PREDIV.</t>
    </r>
  </si>
  <si>
    <t>PLL0 Input (min)</t>
  </si>
  <si>
    <t>PLL0_PHI (max)</t>
  </si>
  <si>
    <t>PLL0_PHI (min)</t>
  </si>
  <si>
    <t>PLL1 Input (min)</t>
  </si>
  <si>
    <t>PLL1 Input (max)</t>
  </si>
  <si>
    <t>PLL0 Input (max)</t>
  </si>
  <si>
    <t>PLL1_PHI (min)</t>
  </si>
  <si>
    <t>PLL1_PHI (max)</t>
  </si>
  <si>
    <t>PLL0_PHI</t>
  </si>
  <si>
    <t>PLL0_PHI1</t>
  </si>
  <si>
    <t>PLL1_PHI</t>
  </si>
  <si>
    <t>Target Frequency</t>
  </si>
  <si>
    <t>Clock domain out of range</t>
  </si>
  <si>
    <t>Rev</t>
  </si>
  <si>
    <t>Date</t>
  </si>
  <si>
    <t>Author</t>
  </si>
  <si>
    <t>Comments</t>
  </si>
  <si>
    <t>David Chung</t>
  </si>
  <si>
    <t>Initial</t>
  </si>
  <si>
    <r>
      <t xml:space="preserve">Change these values at </t>
    </r>
    <r>
      <rPr>
        <b/>
        <i/>
        <sz val="16"/>
        <color theme="1"/>
        <rFont val="Calibri"/>
        <family val="2"/>
        <scheme val="minor"/>
      </rPr>
      <t>Target Frequency</t>
    </r>
  </si>
  <si>
    <r>
      <t xml:space="preserve">Use this table to select PLL0DV[MFD] and PLL0DV[RFDPHI] based upon PLL0 reference frequency and PLL0DV[PREDIV] entered to </t>
    </r>
    <r>
      <rPr>
        <b/>
        <i/>
        <sz val="14"/>
        <color theme="1"/>
        <rFont val="Calibri"/>
        <family val="2"/>
        <scheme val="minor"/>
      </rPr>
      <t>Target Frequency</t>
    </r>
    <r>
      <rPr>
        <b/>
        <sz val="14"/>
        <color theme="1"/>
        <rFont val="Calibri"/>
        <family val="2"/>
        <scheme val="minor"/>
      </rPr>
      <t>.
Look for green shaded cell.
If there is no green shaded cell, try another PLL0 reference frequency or different PLL0DV[PREDIV] value.</t>
    </r>
  </si>
  <si>
    <r>
      <t xml:space="preserve">Use this table to select PLL0DV[RFDPHI1] based upon PLL0DV[MFD] entered to </t>
    </r>
    <r>
      <rPr>
        <b/>
        <i/>
        <sz val="14"/>
        <color theme="1"/>
        <rFont val="Calibri"/>
        <family val="2"/>
        <scheme val="minor"/>
      </rPr>
      <t>Target Frequency</t>
    </r>
    <r>
      <rPr>
        <b/>
        <sz val="14"/>
        <color theme="1"/>
        <rFont val="Calibri"/>
        <family val="2"/>
        <scheme val="minor"/>
      </rPr>
      <t>.
I.E Look in the same column number as in the table on the previous tab.</t>
    </r>
  </si>
  <si>
    <r>
      <t xml:space="preserve">Use this table to select PLL1DV[MFD] and PLL1DV[RFDPHI] based upon PLL1 reference frequency selected on tab </t>
    </r>
    <r>
      <rPr>
        <b/>
        <i/>
        <sz val="14"/>
        <color theme="1"/>
        <rFont val="Calibri"/>
        <family val="2"/>
        <scheme val="minor"/>
      </rPr>
      <t>pll0_phi1</t>
    </r>
    <r>
      <rPr>
        <b/>
        <sz val="14"/>
        <color theme="1"/>
        <rFont val="Calibri"/>
        <family val="2"/>
        <scheme val="minor"/>
      </rPr>
      <t>.
Look for the green shaded cell.
If there is no green shaded cell, then the Fractional Divider could be used, provided that the selected MFD +1 does not produce a frequency that exceeds the
maximum system frequency for your device. Add a non-zero value in cell G12 until the desired frequency is acheived.</t>
    </r>
  </si>
  <si>
    <t>Within VCO spec but PLL spec violated</t>
  </si>
  <si>
    <t>PLL input/output frequency is out of range</t>
  </si>
  <si>
    <t>PLL1 input/output frequency is out of range</t>
  </si>
  <si>
    <t>PLL1 output frequency is out of range</t>
  </si>
  <si>
    <t>Register</t>
  </si>
  <si>
    <t>Value</t>
  </si>
  <si>
    <t>MC_ME_&lt;MODE&gt;_MC</t>
  </si>
  <si>
    <t>XOSC_CTL</t>
  </si>
  <si>
    <t>MC_CGM_SC_DC0</t>
  </si>
  <si>
    <t>MC_CGM_AC0_SC</t>
  </si>
  <si>
    <t>MC_CGM_AC0_DC0</t>
  </si>
  <si>
    <t>MC_CGM_AC0_DC1</t>
  </si>
  <si>
    <t>MC_CGM_AC0_DC2</t>
  </si>
  <si>
    <t>MC_CGM_AC1_DC0</t>
  </si>
  <si>
    <t>MC_CGM_AC2_DC0</t>
  </si>
  <si>
    <t>MC_CGM_AC3_SC</t>
  </si>
  <si>
    <t>MC_CGM_AC4_SC</t>
  </si>
  <si>
    <t>MC_CGM_AC5_SC</t>
  </si>
  <si>
    <t>MC_CGM_AC5_DC0</t>
  </si>
  <si>
    <t>MC_CGM_AC6_SC</t>
  </si>
  <si>
    <t>MC_CGM_AC6_DC0</t>
  </si>
  <si>
    <t>MC_CGM_AC10_SC</t>
  </si>
  <si>
    <t>MC_CGM_AC10_DC0</t>
  </si>
  <si>
    <t>PLLDIG_PLL0DV</t>
  </si>
  <si>
    <t>PLLDIG_PLL1DV</t>
  </si>
  <si>
    <t>PLLDIG_PLL1FD</t>
  </si>
  <si>
    <t>Fixed typo in PLL0 RFDPHI1 block, PLL0_PHI1 limits, and PLL1_PHI representation. Added EXTAL. Updated system clock divider scheme.  Added register summary table.</t>
  </si>
  <si>
    <t>MC_CGM_AC1_DC1</t>
  </si>
  <si>
    <t>MC_CGM_AC11_SC</t>
  </si>
  <si>
    <t>MC_CGM_AC11_DC0</t>
  </si>
  <si>
    <t>Module</t>
  </si>
  <si>
    <t>Clock Domain</t>
  </si>
  <si>
    <t>System</t>
  </si>
  <si>
    <t>IRCOSC</t>
  </si>
  <si>
    <t>XOSC</t>
  </si>
  <si>
    <t>SYS_CLK</t>
  </si>
  <si>
    <t>CHKR_CLK</t>
  </si>
  <si>
    <t>PBRIDGE_0_CLK</t>
  </si>
  <si>
    <t>PBRIDGE_1_CLK</t>
  </si>
  <si>
    <t>Module Clock</t>
  </si>
  <si>
    <t>BIU</t>
  </si>
  <si>
    <t>SENT0:1</t>
  </si>
  <si>
    <t>Protocol Clock</t>
  </si>
  <si>
    <t>r/w_data</t>
  </si>
  <si>
    <t>Clock 1</t>
  </si>
  <si>
    <t>Clock 2</t>
  </si>
  <si>
    <t>FCCU</t>
  </si>
  <si>
    <t>SIUL</t>
  </si>
  <si>
    <t>Filter Clock</t>
  </si>
  <si>
    <t>MC_ME</t>
  </si>
  <si>
    <t>MC_PCU</t>
  </si>
  <si>
    <t>MC_RGM</t>
  </si>
  <si>
    <t>WKPU</t>
  </si>
  <si>
    <t>STCU2</t>
  </si>
  <si>
    <t>SSCM</t>
  </si>
  <si>
    <t>ADC Clock</t>
  </si>
  <si>
    <t>SARADC0:3</t>
  </si>
  <si>
    <t>SIPI</t>
  </si>
  <si>
    <t>DMA</t>
  </si>
  <si>
    <t>SRAM</t>
  </si>
  <si>
    <t>Array Clock</t>
  </si>
  <si>
    <t>Flash Memory</t>
  </si>
  <si>
    <t>MEMU</t>
  </si>
  <si>
    <t>System Bus Clock</t>
  </si>
  <si>
    <t>System Side Module Clock</t>
  </si>
  <si>
    <t>Rx Clock</t>
  </si>
  <si>
    <t>Tx Clock</t>
  </si>
  <si>
    <t>LFAST Slow Speed Phase Input</t>
  </si>
  <si>
    <t>LFAST Slow Speed Phases</t>
  </si>
  <si>
    <t>LFAST_PLL_CLK_A</t>
  </si>
  <si>
    <t>LFAST_PLL_CLK_B</t>
  </si>
  <si>
    <t>Frequency (MHz)</t>
  </si>
  <si>
    <t>SGEN_CLK</t>
  </si>
  <si>
    <t>ADC_CLK</t>
  </si>
  <si>
    <t>CLKOUT0</t>
  </si>
  <si>
    <t>LFAST_PLL</t>
  </si>
  <si>
    <t>LFAST_REF_CLK</t>
  </si>
  <si>
    <t>RMII_CLK</t>
  </si>
  <si>
    <t>Baud Clock</t>
  </si>
  <si>
    <t>LINFlexD0:1</t>
  </si>
  <si>
    <t>FlexPWM0:1</t>
  </si>
  <si>
    <t>eTimer0:2</t>
  </si>
  <si>
    <t>FlexCAN0:2</t>
  </si>
  <si>
    <t>CTU0:1</t>
  </si>
  <si>
    <t>PIT</t>
  </si>
  <si>
    <t>SWT0</t>
  </si>
  <si>
    <t>SWT1</t>
  </si>
  <si>
    <t>CRC</t>
  </si>
  <si>
    <t>BAM</t>
  </si>
  <si>
    <t>FlexRay</t>
  </si>
  <si>
    <t>DSPI</t>
  </si>
  <si>
    <t>Timer Clock</t>
  </si>
  <si>
    <t>HCLK</t>
  </si>
  <si>
    <t>DMAMUX0:1</t>
  </si>
  <si>
    <t>TSENS</t>
  </si>
  <si>
    <t>PLL Reference</t>
  </si>
  <si>
    <t>LFAST_PLLCR</t>
  </si>
  <si>
    <t>LFAST_SCR</t>
  </si>
  <si>
    <t>LFAST_COCR</t>
  </si>
  <si>
    <t>LFAST_MCR</t>
  </si>
  <si>
    <t>Added clock summary table to Summary tab and LFAST Clocking</t>
  </si>
  <si>
    <t>Block</t>
  </si>
  <si>
    <t>Reset</t>
  </si>
  <si>
    <t>Max</t>
  </si>
  <si>
    <t>Ext. Oscillator</t>
  </si>
  <si>
    <t>EXTAL</t>
  </si>
  <si>
    <t>XOSC Select</t>
  </si>
  <si>
    <t>IRCOSC Source Controller</t>
  </si>
  <si>
    <t>XOSC Source Controller</t>
  </si>
  <si>
    <t>System Clock Selector</t>
  </si>
  <si>
    <t>Aux Clock Selector 0</t>
  </si>
  <si>
    <t>MOTC_CLK Divider</t>
  </si>
  <si>
    <t>MOTC_CLK Enable</t>
  </si>
  <si>
    <t>SGEN_CLK Enable</t>
  </si>
  <si>
    <t>SGEN_CLK Divider</t>
  </si>
  <si>
    <t>ADC_CLK Enable</t>
  </si>
  <si>
    <t>ADC_CLK Divider</t>
  </si>
  <si>
    <t>FRAY_CLK Enable</t>
  </si>
  <si>
    <t>FRAY_CLK Divider</t>
  </si>
  <si>
    <t>SENT_CLK Enable</t>
  </si>
  <si>
    <t>SENT_CLK Divider</t>
  </si>
  <si>
    <t>CAN_CLK Enable</t>
  </si>
  <si>
    <t>CAN_CLK Divider</t>
  </si>
  <si>
    <t>Aux Clock Selector 3</t>
  </si>
  <si>
    <t>Aux Clock Selector 4</t>
  </si>
  <si>
    <t>Aux Clock Selector 5</t>
  </si>
  <si>
    <t>LFAST_PLL Enable</t>
  </si>
  <si>
    <t>LFAST_PLL Divider</t>
  </si>
  <si>
    <t>Aux Clock Selector 6</t>
  </si>
  <si>
    <t>CLKOUT Enable</t>
  </si>
  <si>
    <t>CLKOUT Divider</t>
  </si>
  <si>
    <t>Aux Clock Selector 10</t>
  </si>
  <si>
    <t>ENET_CLK Enable</t>
  </si>
  <si>
    <t>ENET_CLK Divider</t>
  </si>
  <si>
    <t>Aux Clock Selector 11</t>
  </si>
  <si>
    <t>ENET_TIME_CLK Enable</t>
  </si>
  <si>
    <t>ENET_TIME_CLK Divider</t>
  </si>
  <si>
    <t>LFAST Divide by 2</t>
  </si>
  <si>
    <t>LFAST High Speed Phase Selection</t>
  </si>
  <si>
    <t>LFAST Rx Mode Control</t>
  </si>
  <si>
    <t>LFAST Tx Mode Control</t>
  </si>
  <si>
    <t>LFAST Prediv</t>
  </si>
  <si>
    <t>LFAST Fractional Divide Enable</t>
  </si>
  <si>
    <t>LFAST PLL Multiplier</t>
  </si>
  <si>
    <t>PLL0 Mode Control</t>
  </si>
  <si>
    <t>PLL0 Prediv</t>
  </si>
  <si>
    <t>PLL0 Multiplier</t>
  </si>
  <si>
    <t>PLL0 RFDPHI</t>
  </si>
  <si>
    <t>PLL0 RFDPHI1</t>
  </si>
  <si>
    <t>PLL1 Mode Control</t>
  </si>
  <si>
    <t>PLL1 Multiplier</t>
  </si>
  <si>
    <t>PLL1 Fractional Enable</t>
  </si>
  <si>
    <t>PLL1 Fractional Divide</t>
  </si>
  <si>
    <t>PLL1 RFDPHI</t>
  </si>
  <si>
    <t>David Chung and Petr Stancik</t>
  </si>
  <si>
    <t>Added dynamic clock initialization code. Added "Reset" and "Max" buttons</t>
  </si>
  <si>
    <t>System Clock Divider 0</t>
  </si>
  <si>
    <t>Fixed CAN_CLK generation diagram</t>
  </si>
  <si>
    <t>PFD (min)</t>
  </si>
  <si>
    <t>PFD (max)</t>
  </si>
  <si>
    <t>Fixed PLL0 clocking</t>
  </si>
  <si>
    <t>Off</t>
  </si>
  <si>
    <t>LFAST_VCO</t>
  </si>
  <si>
    <t>Fixed LFAST PLL Diagram</t>
  </si>
  <si>
    <t>LFAST PLL Switch</t>
  </si>
  <si>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</sst>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b/>
      <sz val="11"/>
      <color theme="1"/>
      <name val="Calibri"/>
      <family val="2"/>
      <scheme val="minor"/>
    </font>
    <font>
      <sz val="20"/>
      <color theme="1"/>
      <name val="Calibri"/>
      <family val="2"/>
      <scheme val="minor"/>
    </font>
    <font>
      <b/>
      <sz val="16"/>
      <color theme="1"/>
      <name val="Calibri"/>
      <family val="2"/>
      <scheme val="minor"/>
    </font>
    <font>
      <b/>
      <sz val="18"/>
      <color theme="1"/>
      <name val="Calibri"/>
      <family val="2"/>
      <scheme val="minor"/>
    </font>
    <font>
      <b/>
      <sz val="14"/>
      <color theme="1"/>
      <name val="Calibri"/>
      <family val="2"/>
      <scheme val="minor"/>
    </font>
    <font>
      <sz val="14"/>
      <color theme="1"/>
      <name val="Calibri"/>
      <family val="2"/>
      <scheme val="minor"/>
    </font>
    <font>
      <sz val="10"/>
      <color theme="1"/>
      <name val="Calibri"/>
      <family val="2"/>
      <scheme val="minor"/>
    </font>
    <font>
      <sz val="10"/>
      <color rgb="FFFF0000"/>
      <name val="Calibri"/>
      <family val="2"/>
      <scheme val="minor"/>
    </font>
    <font>
      <u/>
      <sz val="11"/>
      <color theme="10"/>
      <name val="Calibri"/>
      <family val="2"/>
      <scheme val="minor"/>
    </font>
    <font>
      <b/>
      <i/>
      <sz val="16"/>
      <color theme="1"/>
      <name val="Calibri"/>
      <family val="2"/>
      <scheme val="minor"/>
    </font>
    <font>
      <b/>
      <i/>
      <sz val="14"/>
      <color theme="1"/>
      <name val="Calibri"/>
      <family val="2"/>
      <scheme val="minor"/>
    </font>
    <font>
      <sz val="11"/>
      <color rgb="FF000000"/>
      <name val="Calibri"/>
      <family val="2"/>
    </font>
  </fonts>
  <fills count="11">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lightDown">
        <bgColor rgb="FFFF0000"/>
      </patternFill>
    </fill>
    <fill>
      <patternFill patternType="solid">
        <fgColor rgb="FF00B05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theme="0" tint="-0.14996795556505021"/>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top/>
      <bottom style="thin">
        <color rgb="FFB2B2B2"/>
      </bottom>
      <diagonal/>
    </border>
    <border>
      <left style="thick">
        <color auto="1"/>
      </left>
      <right style="thick">
        <color auto="1"/>
      </right>
      <top style="thick">
        <color auto="1"/>
      </top>
      <bottom style="thick">
        <color auto="1"/>
      </bottom>
      <diagonal/>
    </border>
    <border>
      <left style="hair">
        <color auto="1"/>
      </left>
      <right style="hair">
        <color auto="1"/>
      </right>
      <top style="hair">
        <color auto="1"/>
      </top>
      <bottom style="hair">
        <color auto="1"/>
      </bottom>
      <diagonal/>
    </border>
    <border>
      <left style="thick">
        <color theme="3" tint="0.39994506668294322"/>
      </left>
      <right style="thick">
        <color theme="3" tint="0.39994506668294322"/>
      </right>
      <top style="thick">
        <color theme="3" tint="0.39994506668294322"/>
      </top>
      <bottom style="thick">
        <color theme="3" tint="0.39994506668294322"/>
      </bottom>
      <diagonal/>
    </border>
    <border>
      <left/>
      <right style="thick">
        <color auto="1"/>
      </right>
      <top/>
      <bottom/>
      <diagonal/>
    </border>
    <border>
      <left style="thick">
        <color auto="1"/>
      </left>
      <right/>
      <top style="thick">
        <color auto="1"/>
      </top>
      <bottom style="thick">
        <color auto="1"/>
      </bottom>
      <diagonal/>
    </border>
    <border>
      <left/>
      <right style="thick">
        <color theme="3" tint="0.39994506668294322"/>
      </right>
      <top style="thick">
        <color auto="1"/>
      </top>
      <bottom style="thick">
        <color auto="1"/>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ck">
        <color indexed="64"/>
      </bottom>
      <diagonal/>
    </border>
  </borders>
  <cellStyleXfs count="2">
    <xf numFmtId="0" fontId="0" fillId="0" borderId="0"/>
    <xf numFmtId="0" fontId="9" fillId="0" borderId="0" applyNumberFormat="0" applyFill="0" applyBorder="0" applyAlignment="0" applyProtection="0"/>
  </cellStyleXfs>
  <cellXfs count="114">
    <xf numFmtId="0" fontId="0" fillId="0" borderId="0" xfId="0"/>
    <xf numFmtId="0" fontId="0" fillId="0" borderId="1" xfId="0" applyBorder="1"/>
    <xf numFmtId="0" fontId="0" fillId="0" borderId="8" xfId="0" applyBorder="1"/>
    <xf numFmtId="0" fontId="1" fillId="0" borderId="0" xfId="0" applyFont="1" applyBorder="1"/>
    <xf numFmtId="0" fontId="2" fillId="0" borderId="0" xfId="0" applyFont="1"/>
    <xf numFmtId="0" fontId="0" fillId="4" borderId="0" xfId="0" applyFill="1"/>
    <xf numFmtId="0" fontId="0" fillId="3" borderId="0" xfId="0" applyFill="1"/>
    <xf numFmtId="0" fontId="0" fillId="2" borderId="0" xfId="0" applyFill="1"/>
    <xf numFmtId="0" fontId="0" fillId="0" borderId="0" xfId="0" applyAlignment="1">
      <alignment horizontal="center" vertical="center" wrapText="1"/>
    </xf>
    <xf numFmtId="0" fontId="0" fillId="0" borderId="0" xfId="0" applyFill="1" applyBorder="1"/>
    <xf numFmtId="0" fontId="4" fillId="0" borderId="0" xfId="0" applyFont="1" applyAlignment="1">
      <alignment horizontal="center" vertical="center" wrapText="1"/>
    </xf>
    <xf numFmtId="0" fontId="0" fillId="0" borderId="0" xfId="0" applyAlignment="1">
      <alignment vertical="top"/>
    </xf>
    <xf numFmtId="0" fontId="1" fillId="0" borderId="4" xfId="0" applyFont="1" applyBorder="1"/>
    <xf numFmtId="0" fontId="1" fillId="0" borderId="5" xfId="0" applyFont="1" applyBorder="1" applyAlignment="1">
      <alignment horizontal="center" vertical="center"/>
    </xf>
    <xf numFmtId="0" fontId="1" fillId="0" borderId="1" xfId="0" applyFont="1" applyBorder="1" applyAlignment="1">
      <alignment horizontal="center" vertical="center"/>
    </xf>
    <xf numFmtId="0" fontId="0" fillId="0" borderId="0" xfId="0" applyFill="1"/>
    <xf numFmtId="0" fontId="1" fillId="0" borderId="1" xfId="0" applyNumberFormat="1" applyFont="1" applyBorder="1" applyAlignment="1">
      <alignment horizontal="center" vertical="center"/>
    </xf>
    <xf numFmtId="0" fontId="1" fillId="0" borderId="1" xfId="0" applyFont="1" applyBorder="1" applyAlignment="1">
      <alignment horizontal="center"/>
    </xf>
    <xf numFmtId="0" fontId="0" fillId="5" borderId="0" xfId="0" applyFill="1"/>
    <xf numFmtId="0" fontId="0" fillId="7" borderId="13" xfId="0" applyFill="1" applyBorder="1"/>
    <xf numFmtId="0" fontId="0" fillId="7" borderId="14" xfId="0" applyFill="1" applyBorder="1"/>
    <xf numFmtId="0" fontId="1" fillId="0" borderId="0" xfId="0" applyFont="1" applyFill="1" applyBorder="1" applyAlignment="1">
      <alignment vertical="center" wrapText="1"/>
    </xf>
    <xf numFmtId="0" fontId="0" fillId="0" borderId="15" xfId="0" applyBorder="1"/>
    <xf numFmtId="0" fontId="1" fillId="6" borderId="12" xfId="0" applyFont="1" applyFill="1" applyBorder="1" applyAlignment="1">
      <alignment horizontal="center"/>
    </xf>
    <xf numFmtId="0" fontId="1" fillId="0" borderId="0" xfId="0" applyFont="1" applyBorder="1" applyAlignment="1">
      <alignment horizontal="center"/>
    </xf>
    <xf numFmtId="164" fontId="1" fillId="6" borderId="12" xfId="0" applyNumberFormat="1" applyFont="1" applyFill="1" applyBorder="1" applyAlignment="1">
      <alignment horizontal="center"/>
    </xf>
    <xf numFmtId="0" fontId="0" fillId="7" borderId="16" xfId="0" applyFill="1" applyBorder="1"/>
    <xf numFmtId="0" fontId="0" fillId="7" borderId="17" xfId="0" applyFill="1" applyBorder="1"/>
    <xf numFmtId="0" fontId="7" fillId="0" borderId="0" xfId="0" applyFont="1"/>
    <xf numFmtId="0" fontId="0" fillId="7" borderId="18" xfId="0" applyFill="1" applyBorder="1"/>
    <xf numFmtId="0" fontId="0" fillId="7" borderId="19" xfId="0" applyFill="1" applyBorder="1"/>
    <xf numFmtId="0" fontId="0" fillId="7" borderId="5" xfId="0" applyFill="1" applyBorder="1"/>
    <xf numFmtId="0" fontId="0" fillId="7" borderId="6" xfId="0" applyFill="1" applyBorder="1"/>
    <xf numFmtId="0" fontId="0" fillId="7" borderId="7" xfId="0" applyFill="1" applyBorder="1"/>
    <xf numFmtId="0" fontId="1" fillId="7" borderId="21" xfId="0" applyFont="1" applyFill="1" applyBorder="1" applyAlignment="1">
      <alignment horizontal="center"/>
    </xf>
    <xf numFmtId="0" fontId="1" fillId="7" borderId="20" xfId="0" applyFont="1" applyFill="1" applyBorder="1" applyAlignment="1">
      <alignment horizont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0" xfId="0" applyNumberFormat="1" applyBorder="1"/>
    <xf numFmtId="0" fontId="0" fillId="6" borderId="1" xfId="0" applyFill="1" applyBorder="1" applyAlignment="1">
      <alignment horizontal="center" vertical="center"/>
    </xf>
    <xf numFmtId="0" fontId="0" fillId="0" borderId="0" xfId="0" applyBorder="1"/>
    <xf numFmtId="0" fontId="0" fillId="0" borderId="11" xfId="0" applyBorder="1" applyAlignment="1">
      <alignment horizontal="center" vertical="center"/>
    </xf>
    <xf numFmtId="0" fontId="9" fillId="0" borderId="0" xfId="1"/>
    <xf numFmtId="0" fontId="3" fillId="0" borderId="0" xfId="0" applyFont="1" applyBorder="1" applyAlignment="1">
      <alignment horizontal="center" vertical="center"/>
    </xf>
    <xf numFmtId="0" fontId="0" fillId="0" borderId="0" xfId="0" applyBorder="1" applyAlignment="1"/>
    <xf numFmtId="0" fontId="9" fillId="0" borderId="0" xfId="1" applyFill="1" applyBorder="1" applyAlignment="1">
      <alignment horizontal="right" vertical="top"/>
    </xf>
    <xf numFmtId="0" fontId="9" fillId="0" borderId="0" xfId="1" applyFill="1" applyBorder="1" applyAlignment="1">
      <alignment horizontal="right"/>
    </xf>
    <xf numFmtId="0" fontId="0" fillId="0" borderId="0" xfId="0" applyFill="1" applyBorder="1" applyAlignment="1">
      <alignment horizontal="center" vertical="center"/>
    </xf>
    <xf numFmtId="0" fontId="9" fillId="0" borderId="27" xfId="1" applyFill="1" applyBorder="1" applyAlignment="1">
      <alignment horizontal="right"/>
    </xf>
    <xf numFmtId="0" fontId="0" fillId="0" borderId="28" xfId="0" applyBorder="1" applyAlignment="1">
      <alignment horizontal="center" vertical="center"/>
    </xf>
    <xf numFmtId="164" fontId="1" fillId="8" borderId="29" xfId="0" applyNumberFormat="1" applyFont="1" applyFill="1" applyBorder="1" applyAlignment="1">
      <alignment horizontal="center"/>
    </xf>
    <xf numFmtId="0" fontId="0" fillId="0" borderId="28" xfId="0" applyBorder="1"/>
    <xf numFmtId="0" fontId="1" fillId="0" borderId="28" xfId="0" applyFont="1" applyBorder="1"/>
    <xf numFmtId="15" fontId="0" fillId="0" borderId="28" xfId="0" applyNumberFormat="1" applyBorder="1"/>
    <xf numFmtId="0" fontId="1" fillId="0" borderId="30" xfId="0" applyFont="1" applyBorder="1" applyAlignment="1">
      <alignment horizontal="center"/>
    </xf>
    <xf numFmtId="164" fontId="1" fillId="8" borderId="30" xfId="0" applyNumberFormat="1" applyFont="1" applyFill="1" applyBorder="1" applyAlignment="1">
      <alignment horizontal="center"/>
    </xf>
    <xf numFmtId="0" fontId="0" fillId="0" borderId="30" xfId="0" applyBorder="1" applyAlignment="1">
      <alignment horizontal="center" vertical="center"/>
    </xf>
    <xf numFmtId="0" fontId="0" fillId="0" borderId="30" xfId="0" applyNumberFormat="1" applyBorder="1" applyAlignment="1">
      <alignment horizontal="center" vertical="center"/>
    </xf>
    <xf numFmtId="0" fontId="0" fillId="0" borderId="28" xfId="0" applyBorder="1" applyAlignment="1">
      <alignment wrapText="1"/>
    </xf>
    <xf numFmtId="0" fontId="1" fillId="0" borderId="28" xfId="0" applyFont="1" applyBorder="1" applyAlignment="1">
      <alignment horizontal="center"/>
    </xf>
    <xf numFmtId="0" fontId="0" fillId="7" borderId="13" xfId="0" applyFont="1" applyFill="1" applyBorder="1"/>
    <xf numFmtId="0" fontId="0" fillId="7" borderId="16" xfId="0" applyFill="1" applyBorder="1" applyAlignment="1">
      <alignment horizontal="right"/>
    </xf>
    <xf numFmtId="0" fontId="0" fillId="7" borderId="17" xfId="0" applyFill="1" applyBorder="1" applyAlignment="1">
      <alignment horizontal="right"/>
    </xf>
    <xf numFmtId="0" fontId="0" fillId="7" borderId="16" xfId="0" applyFill="1" applyBorder="1" applyAlignment="1">
      <alignment horizontal="left"/>
    </xf>
    <xf numFmtId="0" fontId="0" fillId="7" borderId="17" xfId="0" applyFill="1" applyBorder="1" applyAlignment="1">
      <alignment horizontal="left"/>
    </xf>
    <xf numFmtId="0" fontId="0" fillId="7" borderId="35" xfId="0" applyFill="1" applyBorder="1" applyAlignment="1">
      <alignment horizontal="center" vertical="center"/>
    </xf>
    <xf numFmtId="0" fontId="0" fillId="7" borderId="35" xfId="0" applyFill="1" applyBorder="1" applyAlignment="1">
      <alignment horizontal="left"/>
    </xf>
    <xf numFmtId="0" fontId="0" fillId="7" borderId="12" xfId="0" applyFill="1" applyBorder="1" applyAlignment="1">
      <alignment horizontal="center" vertical="center"/>
    </xf>
    <xf numFmtId="0" fontId="0" fillId="7" borderId="12" xfId="0" applyFill="1" applyBorder="1" applyAlignment="1">
      <alignment horizontal="left"/>
    </xf>
    <xf numFmtId="0" fontId="0" fillId="7" borderId="17" xfId="0" applyFill="1" applyBorder="1" applyAlignment="1">
      <alignment horizontal="center" vertical="center"/>
    </xf>
    <xf numFmtId="0" fontId="0" fillId="7" borderId="9" xfId="0" applyFill="1" applyBorder="1" applyAlignment="1">
      <alignment horizontal="center" vertical="center"/>
    </xf>
    <xf numFmtId="0" fontId="0" fillId="7" borderId="36" xfId="0" applyFill="1" applyBorder="1" applyAlignment="1">
      <alignment horizontal="left"/>
    </xf>
    <xf numFmtId="0" fontId="0" fillId="7" borderId="36" xfId="0" applyFill="1" applyBorder="1" applyAlignment="1">
      <alignment horizontal="right"/>
    </xf>
    <xf numFmtId="0" fontId="0" fillId="7" borderId="12" xfId="0" applyFill="1" applyBorder="1" applyAlignment="1">
      <alignment horizontal="right"/>
    </xf>
    <xf numFmtId="0" fontId="0" fillId="7" borderId="16" xfId="0" applyFont="1" applyFill="1" applyBorder="1"/>
    <xf numFmtId="0" fontId="0" fillId="10" borderId="12" xfId="0" applyFill="1" applyBorder="1"/>
    <xf numFmtId="49" fontId="1" fillId="0" borderId="15" xfId="0" applyNumberFormat="1" applyFont="1" applyBorder="1" applyAlignment="1">
      <alignment horizontal="left" vertical="center"/>
    </xf>
    <xf numFmtId="0" fontId="0" fillId="0" borderId="15" xfId="0" applyBorder="1" applyAlignment="1">
      <alignment horizontal="left" vertical="center"/>
    </xf>
    <xf numFmtId="0" fontId="3" fillId="0" borderId="0" xfId="0" applyFont="1" applyAlignment="1">
      <alignment horizontal="center" vertical="center" wrapText="1"/>
    </xf>
    <xf numFmtId="0" fontId="0" fillId="0" borderId="0" xfId="0" applyAlignment="1"/>
    <xf numFmtId="0" fontId="1" fillId="0" borderId="5" xfId="0" applyFont="1" applyBorder="1" applyAlignment="1">
      <alignment horizontal="center" vertical="top" textRotation="90"/>
    </xf>
    <xf numFmtId="0" fontId="0" fillId="0" borderId="6" xfId="0" applyBorder="1" applyAlignment="1">
      <alignment vertical="top"/>
    </xf>
    <xf numFmtId="0" fontId="5" fillId="0" borderId="0" xfId="0" applyFont="1" applyAlignment="1">
      <alignment vertical="top" wrapText="1"/>
    </xf>
    <xf numFmtId="0" fontId="5" fillId="0" borderId="0" xfId="0" applyFont="1" applyAlignment="1">
      <alignment vertical="top"/>
    </xf>
    <xf numFmtId="0" fontId="0" fillId="0" borderId="0" xfId="0" applyAlignment="1">
      <alignment vertical="top"/>
    </xf>
    <xf numFmtId="0" fontId="0" fillId="9" borderId="0" xfId="0" applyFill="1"/>
    <xf numFmtId="0" fontId="3" fillId="0" borderId="23" xfId="0" applyFont="1" applyBorder="1" applyAlignment="1">
      <alignment horizontal="center" vertical="center"/>
    </xf>
    <xf numFmtId="0" fontId="3" fillId="0" borderId="22" xfId="0" applyFont="1" applyBorder="1" applyAlignment="1">
      <alignment horizontal="center" vertical="center"/>
    </xf>
    <xf numFmtId="0" fontId="3" fillId="0" borderId="24" xfId="0" applyFont="1" applyBorder="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31" xfId="0" applyFont="1" applyBorder="1" applyAlignment="1">
      <alignment horizontal="center" vertical="center"/>
    </xf>
    <xf numFmtId="0" fontId="0" fillId="0" borderId="15" xfId="0" applyBorder="1" applyAlignment="1">
      <alignment horizontal="left"/>
    </xf>
    <xf numFmtId="0" fontId="1" fillId="0" borderId="5" xfId="0" applyFont="1" applyBorder="1" applyAlignment="1">
      <alignment horizontal="center" vertical="center" textRotation="90"/>
    </xf>
    <xf numFmtId="0" fontId="0" fillId="0" borderId="6" xfId="0" applyBorder="1" applyAlignment="1">
      <alignment horizontal="center" vertical="center" textRotation="90"/>
    </xf>
    <xf numFmtId="0" fontId="0" fillId="0" borderId="7" xfId="0" applyBorder="1" applyAlignment="1">
      <alignment horizontal="center" vertical="center" textRotation="90"/>
    </xf>
    <xf numFmtId="0" fontId="4" fillId="0" borderId="0" xfId="0" applyFont="1" applyAlignment="1">
      <alignment horizontal="center" vertical="center" wrapText="1"/>
    </xf>
    <xf numFmtId="0" fontId="5" fillId="0" borderId="0" xfId="0" applyFont="1" applyAlignment="1"/>
    <xf numFmtId="49" fontId="1" fillId="0" borderId="2" xfId="0" applyNumberFormat="1" applyFont="1" applyBorder="1" applyAlignment="1">
      <alignment horizontal="center" vertical="center"/>
    </xf>
    <xf numFmtId="49" fontId="1" fillId="0" borderId="3" xfId="0" applyNumberFormat="1" applyFont="1" applyBorder="1" applyAlignment="1">
      <alignment horizontal="center" vertical="center"/>
    </xf>
    <xf numFmtId="49" fontId="1" fillId="0" borderId="4" xfId="0" applyNumberFormat="1" applyFont="1" applyBorder="1" applyAlignment="1">
      <alignment horizontal="center" vertical="center"/>
    </xf>
    <xf numFmtId="0" fontId="6" fillId="0" borderId="0" xfId="0" applyFont="1" applyAlignment="1">
      <alignment vertical="top"/>
    </xf>
    <xf numFmtId="0" fontId="9" fillId="0" borderId="9" xfId="1" applyBorder="1" applyAlignment="1"/>
    <xf numFmtId="0" fontId="9" fillId="0" borderId="10" xfId="1" applyBorder="1" applyAlignment="1"/>
    <xf numFmtId="0" fontId="0" fillId="9" borderId="32" xfId="0" applyFill="1" applyBorder="1"/>
    <xf numFmtId="0" fontId="0" fillId="9" borderId="33" xfId="0" applyFill="1" applyBorder="1"/>
    <xf numFmtId="0" fontId="0" fillId="7" borderId="35" xfId="0" applyFill="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36" xfId="0" applyBorder="1" applyAlignment="1">
      <alignment horizontal="center" vertical="center"/>
    </xf>
    <xf numFmtId="0" fontId="0" fillId="7" borderId="17" xfId="0" applyFill="1" applyBorder="1" applyAlignment="1">
      <alignment horizontal="center" vertical="center"/>
    </xf>
    <xf numFmtId="0" fontId="0" fillId="7" borderId="34" xfId="0" applyFill="1" applyBorder="1" applyAlignment="1">
      <alignment horizontal="center" vertical="center"/>
    </xf>
    <xf numFmtId="0" fontId="1" fillId="7" borderId="2" xfId="0" applyFont="1" applyFill="1" applyBorder="1" applyAlignment="1">
      <alignment horizontal="center" vertical="center"/>
    </xf>
    <xf numFmtId="0" fontId="1" fillId="7" borderId="4" xfId="0" applyFont="1" applyFill="1" applyBorder="1" applyAlignment="1">
      <alignment horizontal="center" vertical="center"/>
    </xf>
  </cellXfs>
  <cellStyles count="2">
    <cellStyle name="Link" xfId="1" builtinId="8"/>
    <cellStyle name="Standard" xfId="0" builtinId="0"/>
  </cellStyles>
  <dxfs count="63">
    <dxf>
      <fill>
        <patternFill>
          <bgColor rgb="FFFF0000"/>
        </patternFill>
      </fill>
    </dxf>
    <dxf>
      <fill>
        <patternFill>
          <bgColor rgb="FFFF0000"/>
        </patternFill>
      </fill>
    </dxf>
    <dxf>
      <fill>
        <patternFill>
          <bgColor rgb="FF00B050"/>
        </patternFill>
      </fill>
    </dxf>
    <dxf>
      <fill>
        <patternFill patternType="solid">
          <bgColor rgb="FFFFFF00"/>
        </patternFill>
      </fill>
    </dxf>
    <dxf>
      <fill>
        <patternFill patternType="lightDown">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border>
    </dxf>
    <dxf>
      <fill>
        <patternFill patternType="lightDown">
          <bgColor rgb="FFFF0000"/>
        </patternFill>
      </fill>
    </dxf>
    <dxf>
      <fill>
        <patternFill patternType="none">
          <bgColor auto="1"/>
        </patternFill>
      </fill>
    </dxf>
    <dxf>
      <fill>
        <patternFill patternType="none">
          <bgColor auto="1"/>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patternType="lightDown">
          <bgColor rgb="FFFF0000"/>
        </patternFill>
      </fill>
    </dxf>
    <dxf>
      <fill>
        <patternFill>
          <bgColor rgb="FFFF0000"/>
        </patternFill>
      </fill>
    </dxf>
    <dxf>
      <fill>
        <patternFill>
          <bgColor rgb="FFFF0000"/>
        </patternFill>
      </fill>
    </dxf>
    <dxf>
      <fill>
        <patternFill>
          <bgColor rgb="FFFF0000"/>
        </patternFill>
      </fill>
    </dxf>
    <dxf>
      <fill>
        <patternFill patternType="lightUp">
          <bgColor rgb="FFFF0000"/>
        </patternFill>
      </fill>
    </dxf>
    <dxf>
      <fill>
        <patternFill>
          <bgColor rgb="FF00B050"/>
        </patternFill>
      </fill>
    </dxf>
    <dxf>
      <fill>
        <patternFill>
          <bgColor rgb="FFFFFF00"/>
        </patternFill>
      </fill>
    </dxf>
    <dxf>
      <fill>
        <patternFill patternType="lightDown">
          <bgColor rgb="FFFF0000"/>
        </patternFill>
      </fill>
    </dxf>
    <dxf>
      <fill>
        <patternFill>
          <bgColor rgb="FFFF0000"/>
        </patternFill>
      </fill>
    </dxf>
    <dxf>
      <fill>
        <patternFill>
          <bgColor rgb="FFFF0000"/>
        </patternFill>
      </fill>
    </dxf>
    <dxf>
      <fill>
        <patternFill patternType="lightDown">
          <bgColor rgb="FFFF0000"/>
        </patternFill>
      </fill>
    </dxf>
    <dxf>
      <fill>
        <patternFill>
          <bgColor rgb="FFFF0000"/>
        </patternFill>
      </fill>
    </dxf>
    <dxf>
      <fill>
        <patternFill patternType="lightDown">
          <bgColor rgb="FFFF0000"/>
        </patternFill>
      </fill>
    </dxf>
    <dxf>
      <fill>
        <patternFill patternType="none">
          <bgColor auto="1"/>
        </patternFill>
      </fill>
    </dxf>
    <dxf>
      <fill>
        <patternFill patternType="none">
          <bgColor auto="1"/>
        </patternFill>
      </fill>
    </dxf>
    <dxf>
      <fill>
        <patternFill patternType="solid">
          <bgColor auto="1"/>
        </patternFill>
      </fill>
    </dxf>
    <dxf>
      <fill>
        <patternFill patternType="solid">
          <bgColor auto="1"/>
        </patternFill>
      </fill>
    </dxf>
    <dxf>
      <fill>
        <patternFill patternType="lightDown">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PLL0!S11"/><Relationship Id="rId7" Type="http://schemas.openxmlformats.org/officeDocument/2006/relationships/hyperlink" Target="#'Oscillator Control'!C10"/><Relationship Id="rId2" Type="http://schemas.openxmlformats.org/officeDocument/2006/relationships/hyperlink" Target="#PLL0!A1"/><Relationship Id="rId1" Type="http://schemas.openxmlformats.org/officeDocument/2006/relationships/hyperlink" Target="#'PLL1'!A1"/><Relationship Id="rId6" Type="http://schemas.openxmlformats.org/officeDocument/2006/relationships/hyperlink" Target="#Tree!P21"/><Relationship Id="rId5" Type="http://schemas.openxmlformats.org/officeDocument/2006/relationships/hyperlink" Target="#'PLL1'!V10"/><Relationship Id="rId4" Type="http://schemas.openxmlformats.org/officeDocument/2006/relationships/hyperlink" Target="#PLL0!S17"/></Relationships>
</file>

<file path=xl/drawings/_rels/drawing3.xml.rels><?xml version="1.0" encoding="UTF-8" standalone="yes"?>
<Relationships xmlns="http://schemas.openxmlformats.org/package/2006/relationships"><Relationship Id="rId8" Type="http://schemas.openxmlformats.org/officeDocument/2006/relationships/hyperlink" Target="#Tree!AA27"/><Relationship Id="rId13" Type="http://schemas.openxmlformats.org/officeDocument/2006/relationships/hyperlink" Target="#Tree!AA42"/><Relationship Id="rId3" Type="http://schemas.openxmlformats.org/officeDocument/2006/relationships/hyperlink" Target="#Tree!AA12"/><Relationship Id="rId7" Type="http://schemas.openxmlformats.org/officeDocument/2006/relationships/hyperlink" Target="#Tree!E26"/><Relationship Id="rId12" Type="http://schemas.openxmlformats.org/officeDocument/2006/relationships/hyperlink" Target="#'LFAST Clocking'!A1"/><Relationship Id="rId2" Type="http://schemas.openxmlformats.org/officeDocument/2006/relationships/hyperlink" Target="#Tree!AA56"/><Relationship Id="rId1" Type="http://schemas.openxmlformats.org/officeDocument/2006/relationships/hyperlink" Target="#Tree!AA15"/><Relationship Id="rId6" Type="http://schemas.openxmlformats.org/officeDocument/2006/relationships/hyperlink" Target="#Tree!AA24"/><Relationship Id="rId11" Type="http://schemas.openxmlformats.org/officeDocument/2006/relationships/hyperlink" Target="#Tree!AA79"/><Relationship Id="rId5" Type="http://schemas.openxmlformats.org/officeDocument/2006/relationships/hyperlink" Target="#Tree!B57"/><Relationship Id="rId10" Type="http://schemas.openxmlformats.org/officeDocument/2006/relationships/hyperlink" Target="#Tree!AA65"/><Relationship Id="rId4" Type="http://schemas.openxmlformats.org/officeDocument/2006/relationships/hyperlink" Target="#Tree!AA21"/><Relationship Id="rId9" Type="http://schemas.openxmlformats.org/officeDocument/2006/relationships/hyperlink" Target="#Tree!AA52"/><Relationship Id="rId14" Type="http://schemas.openxmlformats.org/officeDocument/2006/relationships/hyperlink" Target="#Tree!AA10"/></Relationships>
</file>

<file path=xl/drawings/_rels/drawing4.xml.rels><?xml version="1.0" encoding="UTF-8" standalone="yes"?>
<Relationships xmlns="http://schemas.openxmlformats.org/package/2006/relationships"><Relationship Id="rId3" Type="http://schemas.openxmlformats.org/officeDocument/2006/relationships/hyperlink" Target="#'Peripheral Domains'!R45"/><Relationship Id="rId2" Type="http://schemas.openxmlformats.org/officeDocument/2006/relationships/hyperlink" Target="#'Peripheral Domains'!G6"/><Relationship Id="rId1" Type="http://schemas.openxmlformats.org/officeDocument/2006/relationships/hyperlink" Target="#'LFAST Clocking'!AD17"/><Relationship Id="rId5" Type="http://schemas.openxmlformats.org/officeDocument/2006/relationships/hyperlink" Target="#'LFAST Clocking'!AA83"/><Relationship Id="rId4" Type="http://schemas.openxmlformats.org/officeDocument/2006/relationships/hyperlink" Target="#'LFAST Clocking'!F83"/></Relationships>
</file>

<file path=xl/drawings/_rels/drawing5.xml.rels><?xml version="1.0" encoding="UTF-8" standalone="yes"?>
<Relationships xmlns="http://schemas.openxmlformats.org/package/2006/relationships"><Relationship Id="rId1" Type="http://schemas.openxmlformats.org/officeDocument/2006/relationships/hyperlink" Target="#Tree!E22"/></Relationships>
</file>

<file path=xl/drawings/_rels/drawing8.xml.rels><?xml version="1.0" encoding="UTF-8" standalone="yes"?>
<Relationships xmlns="http://schemas.openxmlformats.org/package/2006/relationships"><Relationship Id="rId1" Type="http://schemas.openxmlformats.org/officeDocument/2006/relationships/hyperlink" Target="#Tree!E14"/></Relationships>
</file>

<file path=xl/drawings/drawing1.xml><?xml version="1.0" encoding="utf-8"?>
<xdr:wsDr xmlns:xdr="http://schemas.openxmlformats.org/drawingml/2006/spreadsheetDrawing" xmlns:a="http://schemas.openxmlformats.org/drawingml/2006/main">
  <xdr:twoCellAnchor>
    <xdr:from>
      <xdr:col>0</xdr:col>
      <xdr:colOff>410237</xdr:colOff>
      <xdr:row>30</xdr:row>
      <xdr:rowOff>39160</xdr:rowOff>
    </xdr:from>
    <xdr:to>
      <xdr:col>2</xdr:col>
      <xdr:colOff>196877</xdr:colOff>
      <xdr:row>33</xdr:row>
      <xdr:rowOff>184892</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410237" y="6916210"/>
          <a:ext cx="1005840" cy="7458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16 MHz RC</a:t>
          </a:r>
        </a:p>
        <a:p>
          <a:pPr algn="ctr"/>
          <a:r>
            <a:rPr lang="en-US" sz="1100"/>
            <a:t>Oscillator</a:t>
          </a:r>
        </a:p>
        <a:p>
          <a:pPr algn="ctr"/>
          <a:r>
            <a:rPr lang="en-US" sz="1100"/>
            <a:t>(IRCOSC)</a:t>
          </a:r>
        </a:p>
      </xdr:txBody>
    </xdr:sp>
    <xdr:clientData/>
  </xdr:twoCellAnchor>
  <xdr:twoCellAnchor>
    <xdr:from>
      <xdr:col>3</xdr:col>
      <xdr:colOff>409576</xdr:colOff>
      <xdr:row>9</xdr:row>
      <xdr:rowOff>57148</xdr:rowOff>
    </xdr:from>
    <xdr:to>
      <xdr:col>5</xdr:col>
      <xdr:colOff>196216</xdr:colOff>
      <xdr:row>12</xdr:row>
      <xdr:rowOff>188593</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2238376" y="828673"/>
          <a:ext cx="100584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4</a:t>
          </a:r>
        </a:p>
        <a:p>
          <a:pPr algn="ctr"/>
          <a:r>
            <a:rPr lang="en-US" sz="900"/>
            <a:t>MC_CGM_AC4_SC[SELCTL]</a:t>
          </a:r>
        </a:p>
      </xdr:txBody>
    </xdr:sp>
    <xdr:clientData/>
  </xdr:twoCellAnchor>
  <xdr:twoCellAnchor>
    <xdr:from>
      <xdr:col>5</xdr:col>
      <xdr:colOff>419101</xdr:colOff>
      <xdr:row>9</xdr:row>
      <xdr:rowOff>47625</xdr:rowOff>
    </xdr:from>
    <xdr:to>
      <xdr:col>7</xdr:col>
      <xdr:colOff>205741</xdr:colOff>
      <xdr:row>12</xdr:row>
      <xdr:rowOff>179070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3467101" y="819150"/>
          <a:ext cx="100584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PLL1</a:t>
          </a:r>
        </a:p>
        <a:p>
          <a:pPr algn="ctr"/>
          <a:r>
            <a:rPr lang="en-US" sz="1100"/>
            <a:t>SSCG</a:t>
          </a:r>
        </a:p>
      </xdr:txBody>
    </xdr:sp>
    <xdr:clientData/>
  </xdr:twoCellAnchor>
  <xdr:twoCellAnchor>
    <xdr:from>
      <xdr:col>3</xdr:col>
      <xdr:colOff>409576</xdr:colOff>
      <xdr:row>17</xdr:row>
      <xdr:rowOff>47625</xdr:rowOff>
    </xdr:from>
    <xdr:to>
      <xdr:col>5</xdr:col>
      <xdr:colOff>196216</xdr:colOff>
      <xdr:row>20</xdr:row>
      <xdr:rowOff>188595</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2238376" y="2419350"/>
          <a:ext cx="100584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3</a:t>
          </a:r>
        </a:p>
        <a:p>
          <a:pPr algn="ctr"/>
          <a:r>
            <a:rPr lang="en-US" sz="900"/>
            <a:t>MC_CGM_AC3_SC[SELCTL]</a:t>
          </a:r>
        </a:p>
      </xdr:txBody>
    </xdr:sp>
    <xdr:clientData/>
  </xdr:twoCellAnchor>
  <xdr:twoCellAnchor>
    <xdr:from>
      <xdr:col>5</xdr:col>
      <xdr:colOff>409576</xdr:colOff>
      <xdr:row>17</xdr:row>
      <xdr:rowOff>47625</xdr:rowOff>
    </xdr:from>
    <xdr:to>
      <xdr:col>7</xdr:col>
      <xdr:colOff>196216</xdr:colOff>
      <xdr:row>20</xdr:row>
      <xdr:rowOff>188595</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3457576" y="2419350"/>
          <a:ext cx="100584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PLL0</a:t>
          </a:r>
        </a:p>
      </xdr:txBody>
    </xdr:sp>
    <xdr:clientData/>
  </xdr:twoCellAnchor>
  <xdr:twoCellAnchor>
    <xdr:from>
      <xdr:col>10</xdr:col>
      <xdr:colOff>4232</xdr:colOff>
      <xdr:row>8</xdr:row>
      <xdr:rowOff>17778</xdr:rowOff>
    </xdr:from>
    <xdr:to>
      <xdr:col>11</xdr:col>
      <xdr:colOff>3047</xdr:colOff>
      <xdr:row>14</xdr:row>
      <xdr:rowOff>1056</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rot="16200000">
          <a:off x="5203126" y="876784"/>
          <a:ext cx="1183428" cy="608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System Clock</a:t>
          </a:r>
        </a:p>
        <a:p>
          <a:pPr algn="ctr"/>
          <a:r>
            <a:rPr lang="en-US" sz="1100" baseline="0"/>
            <a:t>Selector </a:t>
          </a:r>
          <a:endParaRPr lang="en-US" sz="1100"/>
        </a:p>
      </xdr:txBody>
    </xdr:sp>
    <xdr:clientData/>
  </xdr:twoCellAnchor>
  <xdr:twoCellAnchor>
    <xdr:from>
      <xdr:col>12</xdr:col>
      <xdr:colOff>16950</xdr:colOff>
      <xdr:row>8</xdr:row>
      <xdr:rowOff>69058</xdr:rowOff>
    </xdr:from>
    <xdr:to>
      <xdr:col>13</xdr:col>
      <xdr:colOff>15765</xdr:colOff>
      <xdr:row>13</xdr:row>
      <xdr:rowOff>160921</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6722550" y="640558"/>
          <a:ext cx="608415" cy="10919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vert="vert270" rtlCol="0" anchor="ctr"/>
        <a:lstStyle/>
        <a:p>
          <a:pPr algn="ctr"/>
          <a:r>
            <a:rPr lang="en-US" sz="1100" baseline="0"/>
            <a:t>PCFS</a:t>
          </a:r>
          <a:endParaRPr lang="en-US" sz="1100"/>
        </a:p>
      </xdr:txBody>
    </xdr:sp>
    <xdr:clientData/>
  </xdr:twoCellAnchor>
  <xdr:twoCellAnchor>
    <xdr:from>
      <xdr:col>25</xdr:col>
      <xdr:colOff>297466</xdr:colOff>
      <xdr:row>24</xdr:row>
      <xdr:rowOff>142877</xdr:rowOff>
    </xdr:from>
    <xdr:to>
      <xdr:col>26</xdr:col>
      <xdr:colOff>293752</xdr:colOff>
      <xdr:row>25</xdr:row>
      <xdr:rowOff>141639</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15566774" y="5352319"/>
          <a:ext cx="604420" cy="2112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CMU_3</a:t>
          </a:r>
        </a:p>
      </xdr:txBody>
    </xdr:sp>
    <xdr:clientData/>
  </xdr:twoCellAnchor>
  <xdr:twoCellAnchor>
    <xdr:from>
      <xdr:col>26</xdr:col>
      <xdr:colOff>2193</xdr:colOff>
      <xdr:row>57</xdr:row>
      <xdr:rowOff>9527</xdr:rowOff>
    </xdr:from>
    <xdr:to>
      <xdr:col>26</xdr:col>
      <xdr:colOff>604231</xdr:colOff>
      <xdr:row>58</xdr:row>
      <xdr:rowOff>20195</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15879635" y="12025681"/>
          <a:ext cx="602038" cy="2011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CMU_4</a:t>
          </a:r>
        </a:p>
      </xdr:txBody>
    </xdr:sp>
    <xdr:clientData/>
  </xdr:twoCellAnchor>
  <xdr:twoCellAnchor>
    <xdr:from>
      <xdr:col>23</xdr:col>
      <xdr:colOff>602671</xdr:colOff>
      <xdr:row>48</xdr:row>
      <xdr:rowOff>135814</xdr:rowOff>
    </xdr:from>
    <xdr:to>
      <xdr:col>25</xdr:col>
      <xdr:colOff>13885</xdr:colOff>
      <xdr:row>51</xdr:row>
      <xdr:rowOff>193130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14677690" y="10276276"/>
          <a:ext cx="605503" cy="6581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CGL</a:t>
          </a:r>
        </a:p>
      </xdr:txBody>
    </xdr:sp>
    <xdr:clientData/>
  </xdr:twoCellAnchor>
  <xdr:oneCellAnchor>
    <xdr:from>
      <xdr:col>3</xdr:col>
      <xdr:colOff>600075</xdr:colOff>
      <xdr:row>14</xdr:row>
      <xdr:rowOff>0</xdr:rowOff>
    </xdr:from>
    <xdr:ext cx="876300" cy="342900"/>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2428875" y="1771650"/>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1 - XOSC</a:t>
          </a:r>
        </a:p>
        <a:p>
          <a:r>
            <a:rPr lang="en-US" sz="800"/>
            <a:t>3 - PLL0_PHI1</a:t>
          </a:r>
        </a:p>
      </xdr:txBody>
    </xdr:sp>
    <xdr:clientData/>
  </xdr:oneCellAnchor>
  <xdr:oneCellAnchor>
    <xdr:from>
      <xdr:col>4</xdr:col>
      <xdr:colOff>0</xdr:colOff>
      <xdr:row>22</xdr:row>
      <xdr:rowOff>9525</xdr:rowOff>
    </xdr:from>
    <xdr:ext cx="876300" cy="342900"/>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2438400" y="3371850"/>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xdr:txBody>
    </xdr:sp>
    <xdr:clientData/>
  </xdr:oneCellAnchor>
  <xdr:oneCellAnchor>
    <xdr:from>
      <xdr:col>10</xdr:col>
      <xdr:colOff>600075</xdr:colOff>
      <xdr:row>13</xdr:row>
      <xdr:rowOff>200024</xdr:rowOff>
    </xdr:from>
    <xdr:ext cx="1152526" cy="723901"/>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6086475" y="1771649"/>
          <a:ext cx="1152526" cy="723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a:p>
          <a:r>
            <a:rPr lang="en-US" sz="800"/>
            <a:t>2 - PLL0</a:t>
          </a:r>
          <a:r>
            <a:rPr lang="en-US" sz="800" baseline="0"/>
            <a:t>_PHI</a:t>
          </a:r>
          <a:br>
            <a:rPr lang="en-US" sz="800"/>
          </a:br>
          <a:r>
            <a:rPr lang="en-US" sz="800"/>
            <a:t>4 - PLL1_PHI</a:t>
          </a:r>
        </a:p>
        <a:p>
          <a:r>
            <a:rPr lang="en-US" sz="800"/>
            <a:t>15 - Disabled</a:t>
          </a:r>
        </a:p>
      </xdr:txBody>
    </xdr:sp>
    <xdr:clientData/>
  </xdr:oneCellAnchor>
  <xdr:oneCellAnchor>
    <xdr:from>
      <xdr:col>26</xdr:col>
      <xdr:colOff>563427</xdr:colOff>
      <xdr:row>13</xdr:row>
      <xdr:rowOff>85724</xdr:rowOff>
    </xdr:from>
    <xdr:ext cx="1057275" cy="419101"/>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6440869" y="301649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PBRIDGE0_CLK</a:t>
          </a:r>
        </a:p>
        <a:p>
          <a:r>
            <a:rPr lang="en-US" sz="1000" b="1"/>
            <a:t>PBRIDGE1_CLK</a:t>
          </a:r>
        </a:p>
      </xdr:txBody>
    </xdr:sp>
    <xdr:clientData/>
  </xdr:oneCellAnchor>
  <xdr:oneCellAnchor>
    <xdr:from>
      <xdr:col>26</xdr:col>
      <xdr:colOff>571494</xdr:colOff>
      <xdr:row>8</xdr:row>
      <xdr:rowOff>56091</xdr:rowOff>
    </xdr:from>
    <xdr:ext cx="1057275" cy="419101"/>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16448936" y="195376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CHCKR_CLK</a:t>
          </a:r>
        </a:p>
        <a:p>
          <a:r>
            <a:rPr lang="en-US" sz="1000" b="1"/>
            <a:t>SYS_CLK</a:t>
          </a:r>
        </a:p>
      </xdr:txBody>
    </xdr:sp>
    <xdr:clientData/>
  </xdr:oneCellAnchor>
  <xdr:oneCellAnchor>
    <xdr:from>
      <xdr:col>26</xdr:col>
      <xdr:colOff>552850</xdr:colOff>
      <xdr:row>10</xdr:row>
      <xdr:rowOff>162983</xdr:rowOff>
    </xdr:from>
    <xdr:ext cx="942975" cy="257176"/>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16430292" y="2485618"/>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HALFSYS_CLK</a:t>
          </a:r>
        </a:p>
      </xdr:txBody>
    </xdr:sp>
    <xdr:clientData/>
  </xdr:oneCellAnchor>
  <xdr:twoCellAnchor>
    <xdr:from>
      <xdr:col>9</xdr:col>
      <xdr:colOff>604842</xdr:colOff>
      <xdr:row>21</xdr:row>
      <xdr:rowOff>9428</xdr:rowOff>
    </xdr:from>
    <xdr:to>
      <xdr:col>10</xdr:col>
      <xdr:colOff>601127</xdr:colOff>
      <xdr:row>26</xdr:row>
      <xdr:rowOff>195261</xdr:rowOff>
    </xdr:to>
    <xdr:sp macro="" textlink="">
      <xdr:nvSpPr>
        <xdr:cNvPr id="43" name="Rectangle 42">
          <a:extLst>
            <a:ext uri="{FF2B5EF4-FFF2-40B4-BE49-F238E27FC236}">
              <a16:creationId xmlns:a16="http://schemas.microsoft.com/office/drawing/2014/main" id="{00000000-0008-0000-0000-00002B000000}"/>
            </a:ext>
          </a:extLst>
        </xdr:cNvPr>
        <xdr:cNvSpPr/>
      </xdr:nvSpPr>
      <xdr:spPr>
        <a:xfrm rot="16200000">
          <a:off x="5165412" y="3497483"/>
          <a:ext cx="1197864"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AUX Clock Selector  0</a:t>
          </a:r>
          <a:endParaRPr lang="en-US" sz="1100"/>
        </a:p>
      </xdr:txBody>
    </xdr:sp>
    <xdr:clientData/>
  </xdr:twoCellAnchor>
  <xdr:oneCellAnchor>
    <xdr:from>
      <xdr:col>26</xdr:col>
      <xdr:colOff>554645</xdr:colOff>
      <xdr:row>19</xdr:row>
      <xdr:rowOff>171450</xdr:rowOff>
    </xdr:from>
    <xdr:ext cx="942975" cy="257176"/>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6432087" y="4333142"/>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MOTC_CLK</a:t>
          </a:r>
        </a:p>
      </xdr:txBody>
    </xdr:sp>
    <xdr:clientData/>
  </xdr:oneCellAnchor>
  <xdr:oneCellAnchor>
    <xdr:from>
      <xdr:col>26</xdr:col>
      <xdr:colOff>554645</xdr:colOff>
      <xdr:row>22</xdr:row>
      <xdr:rowOff>171450</xdr:rowOff>
    </xdr:from>
    <xdr:ext cx="942975" cy="257176"/>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6432087" y="4955931"/>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SGEN_CLK</a:t>
          </a:r>
        </a:p>
      </xdr:txBody>
    </xdr:sp>
    <xdr:clientData/>
  </xdr:oneCellAnchor>
  <xdr:oneCellAnchor>
    <xdr:from>
      <xdr:col>26</xdr:col>
      <xdr:colOff>545116</xdr:colOff>
      <xdr:row>25</xdr:row>
      <xdr:rowOff>171450</xdr:rowOff>
    </xdr:from>
    <xdr:ext cx="942975" cy="257176"/>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6422558" y="5593373"/>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ADC_CLK</a:t>
          </a:r>
        </a:p>
      </xdr:txBody>
    </xdr:sp>
    <xdr:clientData/>
  </xdr:oneCellAnchor>
  <xdr:oneCellAnchor>
    <xdr:from>
      <xdr:col>11</xdr:col>
      <xdr:colOff>0</xdr:colOff>
      <xdr:row>27</xdr:row>
      <xdr:rowOff>2380</xdr:rowOff>
    </xdr:from>
    <xdr:ext cx="1152526" cy="504826"/>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6072188" y="4407693"/>
          <a:ext cx="1152526" cy="504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a:p>
          <a:r>
            <a:rPr lang="en-US" sz="800"/>
            <a:t>2 - PLL0</a:t>
          </a:r>
          <a:r>
            <a:rPr lang="en-US" sz="800" baseline="0"/>
            <a:t>_PHI</a:t>
          </a:r>
          <a:endParaRPr lang="en-US" sz="800"/>
        </a:p>
      </xdr:txBody>
    </xdr:sp>
    <xdr:clientData/>
  </xdr:oneCellAnchor>
  <xdr:twoCellAnchor>
    <xdr:from>
      <xdr:col>9</xdr:col>
      <xdr:colOff>599402</xdr:colOff>
      <xdr:row>29</xdr:row>
      <xdr:rowOff>179899</xdr:rowOff>
    </xdr:from>
    <xdr:to>
      <xdr:col>10</xdr:col>
      <xdr:colOff>596769</xdr:colOff>
      <xdr:row>35</xdr:row>
      <xdr:rowOff>190498</xdr:rowOff>
    </xdr:to>
    <xdr:sp macro="" textlink="">
      <xdr:nvSpPr>
        <xdr:cNvPr id="48" name="Rectangle 47">
          <a:extLst>
            <a:ext uri="{FF2B5EF4-FFF2-40B4-BE49-F238E27FC236}">
              <a16:creationId xmlns:a16="http://schemas.microsoft.com/office/drawing/2014/main" id="{00000000-0008-0000-0000-000030000000}"/>
            </a:ext>
          </a:extLst>
        </xdr:cNvPr>
        <xdr:cNvSpPr/>
      </xdr:nvSpPr>
      <xdr:spPr>
        <a:xfrm rot="16200000">
          <a:off x="5766593" y="5204458"/>
          <a:ext cx="1179576"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6</a:t>
          </a:r>
          <a:endParaRPr lang="en-US" sz="1100">
            <a:solidFill>
              <a:schemeClr val="lt1"/>
            </a:solidFill>
            <a:latin typeface="+mn-lt"/>
            <a:ea typeface="+mn-ea"/>
            <a:cs typeface="+mn-cs"/>
          </a:endParaRPr>
        </a:p>
      </xdr:txBody>
    </xdr:sp>
    <xdr:clientData/>
  </xdr:twoCellAnchor>
  <xdr:oneCellAnchor>
    <xdr:from>
      <xdr:col>26</xdr:col>
      <xdr:colOff>554643</xdr:colOff>
      <xdr:row>31</xdr:row>
      <xdr:rowOff>171450</xdr:rowOff>
    </xdr:from>
    <xdr:ext cx="942975" cy="257176"/>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6432085" y="6831623"/>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CLKOUT0</a:t>
          </a:r>
        </a:p>
      </xdr:txBody>
    </xdr:sp>
    <xdr:clientData/>
  </xdr:oneCellAnchor>
  <xdr:oneCellAnchor>
    <xdr:from>
      <xdr:col>11</xdr:col>
      <xdr:colOff>9525</xdr:colOff>
      <xdr:row>35</xdr:row>
      <xdr:rowOff>190499</xdr:rowOff>
    </xdr:from>
    <xdr:ext cx="1152526" cy="609601"/>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6105525" y="5524499"/>
          <a:ext cx="1152526" cy="609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a:p>
          <a:r>
            <a:rPr lang="en-US" sz="800"/>
            <a:t>2 - PLL0</a:t>
          </a:r>
          <a:r>
            <a:rPr lang="en-US" sz="800" baseline="0"/>
            <a:t>_PHI</a:t>
          </a:r>
          <a:br>
            <a:rPr lang="en-US" sz="800"/>
          </a:br>
          <a:r>
            <a:rPr lang="en-US" sz="800"/>
            <a:t>4 - PLL1_PHI</a:t>
          </a:r>
        </a:p>
      </xdr:txBody>
    </xdr:sp>
    <xdr:clientData/>
  </xdr:oneCellAnchor>
  <xdr:twoCellAnchor>
    <xdr:from>
      <xdr:col>9</xdr:col>
      <xdr:colOff>603545</xdr:colOff>
      <xdr:row>38</xdr:row>
      <xdr:rowOff>187693</xdr:rowOff>
    </xdr:from>
    <xdr:to>
      <xdr:col>10</xdr:col>
      <xdr:colOff>600912</xdr:colOff>
      <xdr:row>44</xdr:row>
      <xdr:rowOff>189632</xdr:rowOff>
    </xdr:to>
    <xdr:sp macro="" textlink="">
      <xdr:nvSpPr>
        <xdr:cNvPr id="53" name="Rectangle 52">
          <a:extLst>
            <a:ext uri="{FF2B5EF4-FFF2-40B4-BE49-F238E27FC236}">
              <a16:creationId xmlns:a16="http://schemas.microsoft.com/office/drawing/2014/main" id="{00000000-0008-0000-0000-000035000000}"/>
            </a:ext>
          </a:extLst>
        </xdr:cNvPr>
        <xdr:cNvSpPr/>
      </xdr:nvSpPr>
      <xdr:spPr>
        <a:xfrm rot="16200000">
          <a:off x="5775066" y="6965717"/>
          <a:ext cx="1170916"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5</a:t>
          </a:r>
          <a:endParaRPr lang="en-US" sz="1100">
            <a:solidFill>
              <a:schemeClr val="lt1"/>
            </a:solidFill>
            <a:latin typeface="+mn-lt"/>
            <a:ea typeface="+mn-ea"/>
            <a:cs typeface="+mn-cs"/>
          </a:endParaRPr>
        </a:p>
      </xdr:txBody>
    </xdr:sp>
    <xdr:clientData/>
  </xdr:twoCellAnchor>
  <xdr:oneCellAnchor>
    <xdr:from>
      <xdr:col>26</xdr:col>
      <xdr:colOff>561973</xdr:colOff>
      <xdr:row>40</xdr:row>
      <xdr:rowOff>171450</xdr:rowOff>
    </xdr:from>
    <xdr:ext cx="942975" cy="257176"/>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6439415" y="8641373"/>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LFAST_PLL</a:t>
          </a:r>
        </a:p>
      </xdr:txBody>
    </xdr:sp>
    <xdr:clientData/>
  </xdr:oneCellAnchor>
  <xdr:oneCellAnchor>
    <xdr:from>
      <xdr:col>11</xdr:col>
      <xdr:colOff>0</xdr:colOff>
      <xdr:row>45</xdr:row>
      <xdr:rowOff>0</xdr:rowOff>
    </xdr:from>
    <xdr:ext cx="1333500" cy="504826"/>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6096000" y="7296150"/>
          <a:ext cx="1333500" cy="504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1 - XOSC</a:t>
          </a:r>
        </a:p>
        <a:p>
          <a:r>
            <a:rPr lang="en-US" sz="800"/>
            <a:t>2 - PLL0</a:t>
          </a:r>
          <a:r>
            <a:rPr lang="en-US" sz="800" baseline="0"/>
            <a:t>_PHI</a:t>
          </a:r>
        </a:p>
        <a:p>
          <a:r>
            <a:rPr lang="en-US" sz="800" baseline="0"/>
            <a:t>5 - LFAST _REF_CLK</a:t>
          </a:r>
          <a:endParaRPr lang="en-US" sz="800"/>
        </a:p>
      </xdr:txBody>
    </xdr:sp>
    <xdr:clientData/>
  </xdr:oneCellAnchor>
  <xdr:oneCellAnchor>
    <xdr:from>
      <xdr:col>5</xdr:col>
      <xdr:colOff>21864</xdr:colOff>
      <xdr:row>42</xdr:row>
      <xdr:rowOff>70788</xdr:rowOff>
    </xdr:from>
    <xdr:ext cx="1066799" cy="427110"/>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3069864" y="7366938"/>
          <a:ext cx="1066799" cy="42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LFAST_REF_CLK</a:t>
          </a:r>
        </a:p>
        <a:p>
          <a:pPr algn="ctr"/>
          <a:r>
            <a:rPr lang="en-US" sz="1000" b="1"/>
            <a:t>(ext sig name)</a:t>
          </a:r>
        </a:p>
      </xdr:txBody>
    </xdr:sp>
    <xdr:clientData/>
  </xdr:oneCellAnchor>
  <xdr:oneCellAnchor>
    <xdr:from>
      <xdr:col>27</xdr:col>
      <xdr:colOff>85721</xdr:colOff>
      <xdr:row>42</xdr:row>
      <xdr:rowOff>166688</xdr:rowOff>
    </xdr:from>
    <xdr:ext cx="1133475" cy="430790"/>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6571298" y="9046919"/>
          <a:ext cx="1133475" cy="430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LFAST_REF_CLK</a:t>
          </a:r>
        </a:p>
        <a:p>
          <a:pPr algn="ctr"/>
          <a:r>
            <a:rPr lang="en-US" sz="1000" b="1"/>
            <a:t>(ext pin)</a:t>
          </a:r>
        </a:p>
      </xdr:txBody>
    </xdr:sp>
    <xdr:clientData/>
  </xdr:oneCellAnchor>
  <xdr:twoCellAnchor>
    <xdr:from>
      <xdr:col>6</xdr:col>
      <xdr:colOff>601814</xdr:colOff>
      <xdr:row>48</xdr:row>
      <xdr:rowOff>179033</xdr:rowOff>
    </xdr:from>
    <xdr:to>
      <xdr:col>7</xdr:col>
      <xdr:colOff>599181</xdr:colOff>
      <xdr:row>54</xdr:row>
      <xdr:rowOff>180973</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rot="16200000">
          <a:off x="3950596" y="8909683"/>
          <a:ext cx="1179576"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2</a:t>
          </a:r>
          <a:endParaRPr lang="en-US" sz="1100">
            <a:solidFill>
              <a:schemeClr val="lt1"/>
            </a:solidFill>
            <a:latin typeface="+mn-lt"/>
            <a:ea typeface="+mn-ea"/>
            <a:cs typeface="+mn-cs"/>
          </a:endParaRPr>
        </a:p>
      </xdr:txBody>
    </xdr:sp>
    <xdr:clientData/>
  </xdr:twoCellAnchor>
  <xdr:twoCellAnchor>
    <xdr:from>
      <xdr:col>10</xdr:col>
      <xdr:colOff>9</xdr:colOff>
      <xdr:row>51</xdr:row>
      <xdr:rowOff>10181</xdr:rowOff>
    </xdr:from>
    <xdr:to>
      <xdr:col>10</xdr:col>
      <xdr:colOff>603513</xdr:colOff>
      <xdr:row>56</xdr:row>
      <xdr:rowOff>193962</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rot="16200000">
          <a:off x="5773337" y="9320990"/>
          <a:ext cx="1179576"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1</a:t>
          </a:r>
          <a:endParaRPr lang="en-US" sz="1100">
            <a:solidFill>
              <a:schemeClr val="lt1"/>
            </a:solidFill>
            <a:latin typeface="+mn-lt"/>
            <a:ea typeface="+mn-ea"/>
            <a:cs typeface="+mn-cs"/>
          </a:endParaRPr>
        </a:p>
      </xdr:txBody>
    </xdr:sp>
    <xdr:clientData/>
  </xdr:twoCellAnchor>
  <xdr:oneCellAnchor>
    <xdr:from>
      <xdr:col>0</xdr:col>
      <xdr:colOff>537730</xdr:colOff>
      <xdr:row>56</xdr:row>
      <xdr:rowOff>193964</xdr:rowOff>
    </xdr:from>
    <xdr:ext cx="781049" cy="257176"/>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537730" y="11738264"/>
          <a:ext cx="781049"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CAN_CLK</a:t>
          </a:r>
        </a:p>
      </xdr:txBody>
    </xdr:sp>
    <xdr:clientData/>
  </xdr:oneCellAnchor>
  <xdr:oneCellAnchor>
    <xdr:from>
      <xdr:col>26</xdr:col>
      <xdr:colOff>559770</xdr:colOff>
      <xdr:row>54</xdr:row>
      <xdr:rowOff>171450</xdr:rowOff>
    </xdr:from>
    <xdr:ext cx="942975" cy="257176"/>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6437212" y="11550162"/>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SENT_CLK</a:t>
          </a:r>
        </a:p>
      </xdr:txBody>
    </xdr:sp>
    <xdr:clientData/>
  </xdr:oneCellAnchor>
  <xdr:oneCellAnchor>
    <xdr:from>
      <xdr:col>26</xdr:col>
      <xdr:colOff>569303</xdr:colOff>
      <xdr:row>49</xdr:row>
      <xdr:rowOff>174381</xdr:rowOff>
    </xdr:from>
    <xdr:ext cx="942975" cy="257176"/>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16446745" y="10505343"/>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FRAY_CLK</a:t>
          </a:r>
        </a:p>
      </xdr:txBody>
    </xdr:sp>
    <xdr:clientData/>
  </xdr:oneCellAnchor>
  <xdr:twoCellAnchor>
    <xdr:from>
      <xdr:col>10</xdr:col>
      <xdr:colOff>596769</xdr:colOff>
      <xdr:row>32</xdr:row>
      <xdr:rowOff>104775</xdr:rowOff>
    </xdr:from>
    <xdr:to>
      <xdr:col>13</xdr:col>
      <xdr:colOff>19050</xdr:colOff>
      <xdr:row>32</xdr:row>
      <xdr:rowOff>194723</xdr:rowOff>
    </xdr:to>
    <xdr:cxnSp macro="">
      <xdr:nvCxnSpPr>
        <xdr:cNvPr id="68" name="Straight Arrow Connector 67">
          <a:extLst>
            <a:ext uri="{FF2B5EF4-FFF2-40B4-BE49-F238E27FC236}">
              <a16:creationId xmlns:a16="http://schemas.microsoft.com/office/drawing/2014/main" id="{00000000-0008-0000-0000-000044000000}"/>
            </a:ext>
          </a:extLst>
        </xdr:cNvPr>
        <xdr:cNvCxnSpPr>
          <a:stCxn id="48" idx="2"/>
        </xdr:cNvCxnSpPr>
      </xdr:nvCxnSpPr>
      <xdr:spPr>
        <a:xfrm flipV="1">
          <a:off x="6692769" y="6781800"/>
          <a:ext cx="1251081" cy="89948"/>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196216</xdr:colOff>
      <xdr:row>11</xdr:row>
      <xdr:rowOff>13335</xdr:rowOff>
    </xdr:from>
    <xdr:to>
      <xdr:col>5</xdr:col>
      <xdr:colOff>419101</xdr:colOff>
      <xdr:row>11</xdr:row>
      <xdr:rowOff>22858</xdr:rowOff>
    </xdr:to>
    <xdr:cxnSp macro="">
      <xdr:nvCxnSpPr>
        <xdr:cNvPr id="73" name="Straight Arrow Connector 72">
          <a:extLst>
            <a:ext uri="{FF2B5EF4-FFF2-40B4-BE49-F238E27FC236}">
              <a16:creationId xmlns:a16="http://schemas.microsoft.com/office/drawing/2014/main" id="{00000000-0008-0000-0000-000049000000}"/>
            </a:ext>
          </a:extLst>
        </xdr:cNvPr>
        <xdr:cNvCxnSpPr>
          <a:stCxn id="4" idx="3"/>
          <a:endCxn id="5" idx="1"/>
        </xdr:cNvCxnSpPr>
      </xdr:nvCxnSpPr>
      <xdr:spPr>
        <a:xfrm flipV="1">
          <a:off x="3244216" y="1184910"/>
          <a:ext cx="222885" cy="9523"/>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196216</xdr:colOff>
      <xdr:row>19</xdr:row>
      <xdr:rowOff>22860</xdr:rowOff>
    </xdr:from>
    <xdr:to>
      <xdr:col>5</xdr:col>
      <xdr:colOff>409576</xdr:colOff>
      <xdr:row>19</xdr:row>
      <xdr:rowOff>22860</xdr:rowOff>
    </xdr:to>
    <xdr:cxnSp macro="">
      <xdr:nvCxnSpPr>
        <xdr:cNvPr id="76" name="Straight Arrow Connector 75">
          <a:extLst>
            <a:ext uri="{FF2B5EF4-FFF2-40B4-BE49-F238E27FC236}">
              <a16:creationId xmlns:a16="http://schemas.microsoft.com/office/drawing/2014/main" id="{00000000-0008-0000-0000-00004C000000}"/>
            </a:ext>
          </a:extLst>
        </xdr:cNvPr>
        <xdr:cNvCxnSpPr>
          <a:stCxn id="7" idx="3"/>
          <a:endCxn id="8" idx="1"/>
        </xdr:cNvCxnSpPr>
      </xdr:nvCxnSpPr>
      <xdr:spPr>
        <a:xfrm>
          <a:off x="3244216" y="2785110"/>
          <a:ext cx="21336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205741</xdr:colOff>
      <xdr:row>11</xdr:row>
      <xdr:rowOff>9417</xdr:rowOff>
    </xdr:from>
    <xdr:to>
      <xdr:col>10</xdr:col>
      <xdr:colOff>4233</xdr:colOff>
      <xdr:row>11</xdr:row>
      <xdr:rowOff>13335</xdr:rowOff>
    </xdr:to>
    <xdr:cxnSp macro="">
      <xdr:nvCxnSpPr>
        <xdr:cNvPr id="78" name="Straight Arrow Connector 77">
          <a:extLst>
            <a:ext uri="{FF2B5EF4-FFF2-40B4-BE49-F238E27FC236}">
              <a16:creationId xmlns:a16="http://schemas.microsoft.com/office/drawing/2014/main" id="{00000000-0008-0000-0000-00004E000000}"/>
            </a:ext>
          </a:extLst>
        </xdr:cNvPr>
        <xdr:cNvCxnSpPr>
          <a:stCxn id="5" idx="3"/>
          <a:endCxn id="9" idx="0"/>
        </xdr:cNvCxnSpPr>
      </xdr:nvCxnSpPr>
      <xdr:spPr>
        <a:xfrm flipV="1">
          <a:off x="4472941" y="1180992"/>
          <a:ext cx="1017692" cy="3918"/>
        </a:xfrm>
        <a:prstGeom prst="straightConnector1">
          <a:avLst/>
        </a:prstGeom>
        <a:ln w="19050">
          <a:solidFill>
            <a:schemeClr val="accent6">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418235</xdr:colOff>
      <xdr:row>11</xdr:row>
      <xdr:rowOff>22858</xdr:rowOff>
    </xdr:from>
    <xdr:to>
      <xdr:col>7</xdr:col>
      <xdr:colOff>204875</xdr:colOff>
      <xdr:row>19</xdr:row>
      <xdr:rowOff>22860</xdr:rowOff>
    </xdr:to>
    <xdr:cxnSp macro="">
      <xdr:nvCxnSpPr>
        <xdr:cNvPr id="98" name="Shape 97">
          <a:extLst>
            <a:ext uri="{FF2B5EF4-FFF2-40B4-BE49-F238E27FC236}">
              <a16:creationId xmlns:a16="http://schemas.microsoft.com/office/drawing/2014/main" id="{00000000-0008-0000-0000-000062000000}"/>
            </a:ext>
          </a:extLst>
        </xdr:cNvPr>
        <xdr:cNvCxnSpPr/>
      </xdr:nvCxnSpPr>
      <xdr:spPr>
        <a:xfrm flipH="1" flipV="1">
          <a:off x="2236644" y="1191835"/>
          <a:ext cx="2211186" cy="1584616"/>
        </a:xfrm>
        <a:prstGeom prst="bentConnector5">
          <a:avLst>
            <a:gd name="adj1" fmla="val -30584"/>
            <a:gd name="adj2" fmla="val 43413"/>
            <a:gd name="adj3" fmla="val 110274"/>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209551</xdr:colOff>
      <xdr:row>19</xdr:row>
      <xdr:rowOff>185739</xdr:rowOff>
    </xdr:from>
    <xdr:to>
      <xdr:col>8</xdr:col>
      <xdr:colOff>571500</xdr:colOff>
      <xdr:row>19</xdr:row>
      <xdr:rowOff>190500</xdr:rowOff>
    </xdr:to>
    <xdr:cxnSp macro="">
      <xdr:nvCxnSpPr>
        <xdr:cNvPr id="106" name="Straight Connector 105">
          <a:extLst>
            <a:ext uri="{FF2B5EF4-FFF2-40B4-BE49-F238E27FC236}">
              <a16:creationId xmlns:a16="http://schemas.microsoft.com/office/drawing/2014/main" id="{00000000-0008-0000-0000-00006A000000}"/>
            </a:ext>
          </a:extLst>
        </xdr:cNvPr>
        <xdr:cNvCxnSpPr/>
      </xdr:nvCxnSpPr>
      <xdr:spPr>
        <a:xfrm>
          <a:off x="4476751" y="2947989"/>
          <a:ext cx="971549" cy="4761"/>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571501</xdr:colOff>
      <xdr:row>11</xdr:row>
      <xdr:rowOff>197644</xdr:rowOff>
    </xdr:from>
    <xdr:to>
      <xdr:col>9</xdr:col>
      <xdr:colOff>8659</xdr:colOff>
      <xdr:row>78</xdr:row>
      <xdr:rowOff>77932</xdr:rowOff>
    </xdr:to>
    <xdr:cxnSp macro="">
      <xdr:nvCxnSpPr>
        <xdr:cNvPr id="110" name="Straight Connector 109">
          <a:extLst>
            <a:ext uri="{FF2B5EF4-FFF2-40B4-BE49-F238E27FC236}">
              <a16:creationId xmlns:a16="http://schemas.microsoft.com/office/drawing/2014/main" id="{00000000-0008-0000-0000-00006E000000}"/>
            </a:ext>
          </a:extLst>
        </xdr:cNvPr>
        <xdr:cNvCxnSpPr/>
      </xdr:nvCxnSpPr>
      <xdr:spPr>
        <a:xfrm>
          <a:off x="5420592" y="1366621"/>
          <a:ext cx="43294" cy="12972834"/>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581025</xdr:colOff>
      <xdr:row>12</xdr:row>
      <xdr:rowOff>0</xdr:rowOff>
    </xdr:from>
    <xdr:to>
      <xdr:col>10</xdr:col>
      <xdr:colOff>1905</xdr:colOff>
      <xdr:row>12</xdr:row>
      <xdr:rowOff>4763</xdr:rowOff>
    </xdr:to>
    <xdr:cxnSp macro="">
      <xdr:nvCxnSpPr>
        <xdr:cNvPr id="114" name="Straight Arrow Connector 113">
          <a:extLst>
            <a:ext uri="{FF2B5EF4-FFF2-40B4-BE49-F238E27FC236}">
              <a16:creationId xmlns:a16="http://schemas.microsoft.com/office/drawing/2014/main" id="{00000000-0008-0000-0000-000072000000}"/>
            </a:ext>
          </a:extLst>
        </xdr:cNvPr>
        <xdr:cNvCxnSpPr/>
      </xdr:nvCxnSpPr>
      <xdr:spPr>
        <a:xfrm>
          <a:off x="5457825" y="1371600"/>
          <a:ext cx="640080" cy="4763"/>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571500</xdr:colOff>
      <xdr:row>25</xdr:row>
      <xdr:rowOff>155864</xdr:rowOff>
    </xdr:from>
    <xdr:to>
      <xdr:col>10</xdr:col>
      <xdr:colOff>9525</xdr:colOff>
      <xdr:row>25</xdr:row>
      <xdr:rowOff>161927</xdr:rowOff>
    </xdr:to>
    <xdr:cxnSp macro="">
      <xdr:nvCxnSpPr>
        <xdr:cNvPr id="115" name="Straight Arrow Connector 114">
          <a:extLst>
            <a:ext uri="{FF2B5EF4-FFF2-40B4-BE49-F238E27FC236}">
              <a16:creationId xmlns:a16="http://schemas.microsoft.com/office/drawing/2014/main" id="{00000000-0008-0000-0000-000073000000}"/>
            </a:ext>
          </a:extLst>
        </xdr:cNvPr>
        <xdr:cNvCxnSpPr/>
      </xdr:nvCxnSpPr>
      <xdr:spPr>
        <a:xfrm>
          <a:off x="5448300" y="4118264"/>
          <a:ext cx="657225" cy="6063"/>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571500</xdr:colOff>
      <xdr:row>33</xdr:row>
      <xdr:rowOff>98497</xdr:rowOff>
    </xdr:from>
    <xdr:to>
      <xdr:col>10</xdr:col>
      <xdr:colOff>649</xdr:colOff>
      <xdr:row>33</xdr:row>
      <xdr:rowOff>102177</xdr:rowOff>
    </xdr:to>
    <xdr:cxnSp macro="">
      <xdr:nvCxnSpPr>
        <xdr:cNvPr id="116" name="Straight Arrow Connector 115">
          <a:extLst>
            <a:ext uri="{FF2B5EF4-FFF2-40B4-BE49-F238E27FC236}">
              <a16:creationId xmlns:a16="http://schemas.microsoft.com/office/drawing/2014/main" id="{00000000-0008-0000-0000-000074000000}"/>
            </a:ext>
          </a:extLst>
        </xdr:cNvPr>
        <xdr:cNvCxnSpPr/>
      </xdr:nvCxnSpPr>
      <xdr:spPr>
        <a:xfrm flipV="1">
          <a:off x="5448300" y="5632522"/>
          <a:ext cx="648349" cy="368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562841</xdr:colOff>
      <xdr:row>41</xdr:row>
      <xdr:rowOff>197322</xdr:rowOff>
    </xdr:from>
    <xdr:to>
      <xdr:col>9</xdr:col>
      <xdr:colOff>603545</xdr:colOff>
      <xdr:row>42</xdr:row>
      <xdr:rowOff>0</xdr:rowOff>
    </xdr:to>
    <xdr:cxnSp macro="">
      <xdr:nvCxnSpPr>
        <xdr:cNvPr id="117" name="Straight Arrow Connector 116">
          <a:extLst>
            <a:ext uri="{FF2B5EF4-FFF2-40B4-BE49-F238E27FC236}">
              <a16:creationId xmlns:a16="http://schemas.microsoft.com/office/drawing/2014/main" id="{00000000-0008-0000-0000-000075000000}"/>
            </a:ext>
          </a:extLst>
        </xdr:cNvPr>
        <xdr:cNvCxnSpPr>
          <a:endCxn id="53" idx="0"/>
        </xdr:cNvCxnSpPr>
      </xdr:nvCxnSpPr>
      <xdr:spPr>
        <a:xfrm flipV="1">
          <a:off x="5411932" y="7271799"/>
          <a:ext cx="646840" cy="1837"/>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597478</xdr:colOff>
      <xdr:row>54</xdr:row>
      <xdr:rowOff>0</xdr:rowOff>
    </xdr:from>
    <xdr:to>
      <xdr:col>10</xdr:col>
      <xdr:colOff>8669</xdr:colOff>
      <xdr:row>54</xdr:row>
      <xdr:rowOff>2492</xdr:rowOff>
    </xdr:to>
    <xdr:cxnSp macro="">
      <xdr:nvCxnSpPr>
        <xdr:cNvPr id="118" name="Straight Arrow Connector 117">
          <a:extLst>
            <a:ext uri="{FF2B5EF4-FFF2-40B4-BE49-F238E27FC236}">
              <a16:creationId xmlns:a16="http://schemas.microsoft.com/office/drawing/2014/main" id="{00000000-0008-0000-0000-000076000000}"/>
            </a:ext>
          </a:extLst>
        </xdr:cNvPr>
        <xdr:cNvCxnSpPr/>
      </xdr:nvCxnSpPr>
      <xdr:spPr>
        <a:xfrm>
          <a:off x="5446569" y="9620250"/>
          <a:ext cx="623464" cy="2492"/>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599181</xdr:colOff>
      <xdr:row>51</xdr:row>
      <xdr:rowOff>188662</xdr:rowOff>
    </xdr:from>
    <xdr:to>
      <xdr:col>8</xdr:col>
      <xdr:colOff>580159</xdr:colOff>
      <xdr:row>51</xdr:row>
      <xdr:rowOff>190500</xdr:rowOff>
    </xdr:to>
    <xdr:cxnSp macro="">
      <xdr:nvCxnSpPr>
        <xdr:cNvPr id="119" name="Straight Arrow Connector 118">
          <a:extLst>
            <a:ext uri="{FF2B5EF4-FFF2-40B4-BE49-F238E27FC236}">
              <a16:creationId xmlns:a16="http://schemas.microsoft.com/office/drawing/2014/main" id="{00000000-0008-0000-0000-000077000000}"/>
            </a:ext>
          </a:extLst>
        </xdr:cNvPr>
        <xdr:cNvCxnSpPr>
          <a:endCxn id="59" idx="2"/>
        </xdr:cNvCxnSpPr>
      </xdr:nvCxnSpPr>
      <xdr:spPr>
        <a:xfrm flipH="1" flipV="1">
          <a:off x="4842136" y="9211435"/>
          <a:ext cx="587114" cy="1838"/>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409575</xdr:colOff>
      <xdr:row>26</xdr:row>
      <xdr:rowOff>28169</xdr:rowOff>
    </xdr:from>
    <xdr:to>
      <xdr:col>5</xdr:col>
      <xdr:colOff>18096</xdr:colOff>
      <xdr:row>26</xdr:row>
      <xdr:rowOff>28169</xdr:rowOff>
    </xdr:to>
    <xdr:cxnSp macro="">
      <xdr:nvCxnSpPr>
        <xdr:cNvPr id="130" name="Straight Arrow Connector 129">
          <a:extLst>
            <a:ext uri="{FF2B5EF4-FFF2-40B4-BE49-F238E27FC236}">
              <a16:creationId xmlns:a16="http://schemas.microsoft.com/office/drawing/2014/main" id="{00000000-0008-0000-0000-000082000000}"/>
            </a:ext>
          </a:extLst>
        </xdr:cNvPr>
        <xdr:cNvCxnSpPr/>
      </xdr:nvCxnSpPr>
      <xdr:spPr>
        <a:xfrm>
          <a:off x="1628775" y="6076544"/>
          <a:ext cx="143732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245487</xdr:colOff>
      <xdr:row>20</xdr:row>
      <xdr:rowOff>11906</xdr:rowOff>
    </xdr:from>
    <xdr:ext cx="681038" cy="273845"/>
    <xdr:sp macro="" textlink="">
      <xdr:nvSpPr>
        <xdr:cNvPr id="69" name="TextBox 68">
          <a:hlinkClick xmlns:r="http://schemas.openxmlformats.org/officeDocument/2006/relationships" r:id="rId3"/>
          <a:extLst>
            <a:ext uri="{FF2B5EF4-FFF2-40B4-BE49-F238E27FC236}">
              <a16:creationId xmlns:a16="http://schemas.microsoft.com/office/drawing/2014/main" id="{00000000-0008-0000-0000-000045000000}"/>
            </a:ext>
          </a:extLst>
        </xdr:cNvPr>
        <xdr:cNvSpPr txBox="1"/>
      </xdr:nvSpPr>
      <xdr:spPr>
        <a:xfrm>
          <a:off x="4488442" y="2964656"/>
          <a:ext cx="681038" cy="27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PLL0</a:t>
          </a:r>
          <a:r>
            <a:rPr lang="en-US" sz="800" baseline="0"/>
            <a:t>_PHI</a:t>
          </a:r>
          <a:endParaRPr lang="en-US" sz="800"/>
        </a:p>
      </xdr:txBody>
    </xdr:sp>
    <xdr:clientData/>
  </xdr:oneCellAnchor>
  <xdr:oneCellAnchor>
    <xdr:from>
      <xdr:col>7</xdr:col>
      <xdr:colOff>201974</xdr:colOff>
      <xdr:row>18</xdr:row>
      <xdr:rowOff>5194</xdr:rowOff>
    </xdr:from>
    <xdr:ext cx="681253" cy="273845"/>
    <xdr:sp macro="" textlink="">
      <xdr:nvSpPr>
        <xdr:cNvPr id="70" name="TextBox 69">
          <a:hlinkClick xmlns:r="http://schemas.openxmlformats.org/officeDocument/2006/relationships" r:id="rId4"/>
          <a:extLst>
            <a:ext uri="{FF2B5EF4-FFF2-40B4-BE49-F238E27FC236}">
              <a16:creationId xmlns:a16="http://schemas.microsoft.com/office/drawing/2014/main" id="{00000000-0008-0000-0000-000046000000}"/>
            </a:ext>
          </a:extLst>
        </xdr:cNvPr>
        <xdr:cNvSpPr txBox="1"/>
      </xdr:nvSpPr>
      <xdr:spPr>
        <a:xfrm>
          <a:off x="4444929" y="2568285"/>
          <a:ext cx="681253" cy="27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PLL0_PHI1</a:t>
          </a:r>
          <a:endParaRPr lang="en-US" sz="800"/>
        </a:p>
      </xdr:txBody>
    </xdr:sp>
    <xdr:clientData/>
  </xdr:oneCellAnchor>
  <xdr:twoCellAnchor>
    <xdr:from>
      <xdr:col>18</xdr:col>
      <xdr:colOff>65176</xdr:colOff>
      <xdr:row>32</xdr:row>
      <xdr:rowOff>104266</xdr:rowOff>
    </xdr:from>
    <xdr:to>
      <xdr:col>25</xdr:col>
      <xdr:colOff>600807</xdr:colOff>
      <xdr:row>32</xdr:row>
      <xdr:rowOff>104266</xdr:rowOff>
    </xdr:to>
    <xdr:cxnSp macro="">
      <xdr:nvCxnSpPr>
        <xdr:cNvPr id="74" name="Straight Arrow Connector 73">
          <a:extLst>
            <a:ext uri="{FF2B5EF4-FFF2-40B4-BE49-F238E27FC236}">
              <a16:creationId xmlns:a16="http://schemas.microsoft.com/office/drawing/2014/main" id="{00000000-0008-0000-0000-00004A000000}"/>
            </a:ext>
          </a:extLst>
        </xdr:cNvPr>
        <xdr:cNvCxnSpPr/>
      </xdr:nvCxnSpPr>
      <xdr:spPr>
        <a:xfrm>
          <a:off x="11011599" y="6962266"/>
          <a:ext cx="485851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600912</xdr:colOff>
      <xdr:row>41</xdr:row>
      <xdr:rowOff>79369</xdr:rowOff>
    </xdr:from>
    <xdr:to>
      <xdr:col>12</xdr:col>
      <xdr:colOff>601811</xdr:colOff>
      <xdr:row>42</xdr:row>
      <xdr:rowOff>7687</xdr:rowOff>
    </xdr:to>
    <xdr:cxnSp macro="">
      <xdr:nvCxnSpPr>
        <xdr:cNvPr id="79" name="Straight Arrow Connector 78">
          <a:extLst>
            <a:ext uri="{FF2B5EF4-FFF2-40B4-BE49-F238E27FC236}">
              <a16:creationId xmlns:a16="http://schemas.microsoft.com/office/drawing/2014/main" id="{00000000-0008-0000-0000-00004F000000}"/>
            </a:ext>
          </a:extLst>
        </xdr:cNvPr>
        <xdr:cNvCxnSpPr/>
      </xdr:nvCxnSpPr>
      <xdr:spPr>
        <a:xfrm flipV="1">
          <a:off x="6696912" y="8566144"/>
          <a:ext cx="1220099" cy="128343"/>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18153</xdr:colOff>
      <xdr:row>41</xdr:row>
      <xdr:rowOff>79802</xdr:rowOff>
    </xdr:from>
    <xdr:to>
      <xdr:col>25</xdr:col>
      <xdr:colOff>586154</xdr:colOff>
      <xdr:row>41</xdr:row>
      <xdr:rowOff>79802</xdr:rowOff>
    </xdr:to>
    <xdr:cxnSp macro="">
      <xdr:nvCxnSpPr>
        <xdr:cNvPr id="81" name="Straight Arrow Connector 80">
          <a:extLst>
            <a:ext uri="{FF2B5EF4-FFF2-40B4-BE49-F238E27FC236}">
              <a16:creationId xmlns:a16="http://schemas.microsoft.com/office/drawing/2014/main" id="{00000000-0008-0000-0000-000051000000}"/>
            </a:ext>
          </a:extLst>
        </xdr:cNvPr>
        <xdr:cNvCxnSpPr/>
      </xdr:nvCxnSpPr>
      <xdr:spPr>
        <a:xfrm>
          <a:off x="10964576" y="8747552"/>
          <a:ext cx="489088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242455</xdr:colOff>
      <xdr:row>40</xdr:row>
      <xdr:rowOff>112568</xdr:rowOff>
    </xdr:from>
    <xdr:to>
      <xdr:col>10</xdr:col>
      <xdr:colOff>15586</xdr:colOff>
      <xdr:row>40</xdr:row>
      <xdr:rowOff>114083</xdr:rowOff>
    </xdr:to>
    <xdr:cxnSp macro="">
      <xdr:nvCxnSpPr>
        <xdr:cNvPr id="89" name="Straight Arrow Connector 88">
          <a:extLst>
            <a:ext uri="{FF2B5EF4-FFF2-40B4-BE49-F238E27FC236}">
              <a16:creationId xmlns:a16="http://schemas.microsoft.com/office/drawing/2014/main" id="{00000000-0008-0000-0000-000059000000}"/>
            </a:ext>
          </a:extLst>
        </xdr:cNvPr>
        <xdr:cNvCxnSpPr/>
      </xdr:nvCxnSpPr>
      <xdr:spPr>
        <a:xfrm>
          <a:off x="5697682" y="6987886"/>
          <a:ext cx="379268" cy="1515"/>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7142</xdr:colOff>
      <xdr:row>43</xdr:row>
      <xdr:rowOff>121228</xdr:rowOff>
    </xdr:from>
    <xdr:to>
      <xdr:col>10</xdr:col>
      <xdr:colOff>8659</xdr:colOff>
      <xdr:row>43</xdr:row>
      <xdr:rowOff>124150</xdr:rowOff>
    </xdr:to>
    <xdr:cxnSp macro="">
      <xdr:nvCxnSpPr>
        <xdr:cNvPr id="90" name="Straight Arrow Connector 89">
          <a:extLst>
            <a:ext uri="{FF2B5EF4-FFF2-40B4-BE49-F238E27FC236}">
              <a16:creationId xmlns:a16="http://schemas.microsoft.com/office/drawing/2014/main" id="{00000000-0008-0000-0000-00005A000000}"/>
            </a:ext>
          </a:extLst>
        </xdr:cNvPr>
        <xdr:cNvCxnSpPr/>
      </xdr:nvCxnSpPr>
      <xdr:spPr>
        <a:xfrm flipV="1">
          <a:off x="4856233" y="7594023"/>
          <a:ext cx="1213790" cy="2922"/>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60614</xdr:colOff>
      <xdr:row>39</xdr:row>
      <xdr:rowOff>60830</xdr:rowOff>
    </xdr:from>
    <xdr:ext cx="489670" cy="233579"/>
    <xdr:sp macro="" textlink="">
      <xdr:nvSpPr>
        <xdr:cNvPr id="93" name="TextBox 92">
          <a:extLst>
            <a:ext uri="{FF2B5EF4-FFF2-40B4-BE49-F238E27FC236}">
              <a16:creationId xmlns:a16="http://schemas.microsoft.com/office/drawing/2014/main" id="{00000000-0008-0000-0000-00005D000000}"/>
            </a:ext>
          </a:extLst>
        </xdr:cNvPr>
        <xdr:cNvSpPr txBox="1"/>
      </xdr:nvSpPr>
      <xdr:spPr>
        <a:xfrm>
          <a:off x="5515841" y="6745648"/>
          <a:ext cx="489670" cy="2335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r"/>
          <a:r>
            <a:rPr lang="en-US" sz="1000" b="1"/>
            <a:t>XOSC</a:t>
          </a:r>
        </a:p>
      </xdr:txBody>
    </xdr:sp>
    <xdr:clientData/>
  </xdr:oneCellAnchor>
  <xdr:twoCellAnchor>
    <xdr:from>
      <xdr:col>5</xdr:col>
      <xdr:colOff>47025</xdr:colOff>
      <xdr:row>58</xdr:row>
      <xdr:rowOff>10118</xdr:rowOff>
    </xdr:from>
    <xdr:to>
      <xdr:col>5</xdr:col>
      <xdr:colOff>501461</xdr:colOff>
      <xdr:row>58</xdr:row>
      <xdr:rowOff>10118</xdr:rowOff>
    </xdr:to>
    <xdr:cxnSp macro="">
      <xdr:nvCxnSpPr>
        <xdr:cNvPr id="82" name="Straight Arrow Connector 81">
          <a:extLst>
            <a:ext uri="{FF2B5EF4-FFF2-40B4-BE49-F238E27FC236}">
              <a16:creationId xmlns:a16="http://schemas.microsoft.com/office/drawing/2014/main" id="{00000000-0008-0000-0000-000052000000}"/>
            </a:ext>
          </a:extLst>
        </xdr:cNvPr>
        <xdr:cNvCxnSpPr/>
      </xdr:nvCxnSpPr>
      <xdr:spPr>
        <a:xfrm flipH="1">
          <a:off x="3087698" y="12334003"/>
          <a:ext cx="454436"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68895</xdr:colOff>
      <xdr:row>56</xdr:row>
      <xdr:rowOff>174971</xdr:rowOff>
    </xdr:from>
    <xdr:ext cx="484909" cy="248947"/>
    <xdr:sp macro="" textlink="">
      <xdr:nvSpPr>
        <xdr:cNvPr id="88" name="TextBox 87">
          <a:extLst>
            <a:ext uri="{FF2B5EF4-FFF2-40B4-BE49-F238E27FC236}">
              <a16:creationId xmlns:a16="http://schemas.microsoft.com/office/drawing/2014/main" id="{00000000-0008-0000-0000-000058000000}"/>
            </a:ext>
          </a:extLst>
        </xdr:cNvPr>
        <xdr:cNvSpPr txBox="1"/>
      </xdr:nvSpPr>
      <xdr:spPr>
        <a:xfrm>
          <a:off x="3109568" y="12095875"/>
          <a:ext cx="484909" cy="24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r"/>
          <a:r>
            <a:rPr lang="en-US" sz="1000" b="1"/>
            <a:t>XOSC</a:t>
          </a:r>
        </a:p>
      </xdr:txBody>
    </xdr:sp>
    <xdr:clientData/>
  </xdr:oneCellAnchor>
  <xdr:twoCellAnchor>
    <xdr:from>
      <xdr:col>9</xdr:col>
      <xdr:colOff>596908</xdr:colOff>
      <xdr:row>61</xdr:row>
      <xdr:rowOff>168161</xdr:rowOff>
    </xdr:from>
    <xdr:to>
      <xdr:col>10</xdr:col>
      <xdr:colOff>594275</xdr:colOff>
      <xdr:row>67</xdr:row>
      <xdr:rowOff>187418</xdr:rowOff>
    </xdr:to>
    <xdr:sp macro="" textlink="">
      <xdr:nvSpPr>
        <xdr:cNvPr id="113" name="Rectangle 112">
          <a:extLst>
            <a:ext uri="{FF2B5EF4-FFF2-40B4-BE49-F238E27FC236}">
              <a16:creationId xmlns:a16="http://schemas.microsoft.com/office/drawing/2014/main" id="{00000000-0008-0000-0000-000071000000}"/>
            </a:ext>
          </a:extLst>
        </xdr:cNvPr>
        <xdr:cNvSpPr/>
      </xdr:nvSpPr>
      <xdr:spPr>
        <a:xfrm rot="16200000">
          <a:off x="5764099" y="11435924"/>
          <a:ext cx="1179575"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10</a:t>
          </a:r>
          <a:endParaRPr lang="en-US" sz="1100">
            <a:solidFill>
              <a:schemeClr val="lt1"/>
            </a:solidFill>
            <a:latin typeface="+mn-lt"/>
            <a:ea typeface="+mn-ea"/>
            <a:cs typeface="+mn-cs"/>
          </a:endParaRPr>
        </a:p>
      </xdr:txBody>
    </xdr:sp>
    <xdr:clientData/>
  </xdr:twoCellAnchor>
  <xdr:twoCellAnchor>
    <xdr:from>
      <xdr:col>9</xdr:col>
      <xdr:colOff>142875</xdr:colOff>
      <xdr:row>9</xdr:row>
      <xdr:rowOff>190500</xdr:rowOff>
    </xdr:from>
    <xdr:to>
      <xdr:col>10</xdr:col>
      <xdr:colOff>9525</xdr:colOff>
      <xdr:row>9</xdr:row>
      <xdr:rowOff>190500</xdr:rowOff>
    </xdr:to>
    <xdr:cxnSp macro="">
      <xdr:nvCxnSpPr>
        <xdr:cNvPr id="80" name="Straight Arrow Connector 79">
          <a:extLst>
            <a:ext uri="{FF2B5EF4-FFF2-40B4-BE49-F238E27FC236}">
              <a16:creationId xmlns:a16="http://schemas.microsoft.com/office/drawing/2014/main" id="{00000000-0008-0000-0000-000050000000}"/>
            </a:ext>
          </a:extLst>
        </xdr:cNvPr>
        <xdr:cNvCxnSpPr/>
      </xdr:nvCxnSpPr>
      <xdr:spPr>
        <a:xfrm>
          <a:off x="5019675" y="962025"/>
          <a:ext cx="47625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81493</xdr:colOff>
      <xdr:row>8</xdr:row>
      <xdr:rowOff>137582</xdr:rowOff>
    </xdr:from>
    <xdr:to>
      <xdr:col>9</xdr:col>
      <xdr:colOff>561974</xdr:colOff>
      <xdr:row>9</xdr:row>
      <xdr:rowOff>200024</xdr:rowOff>
    </xdr:to>
    <xdr:sp macro="" textlink="">
      <xdr:nvSpPr>
        <xdr:cNvPr id="121" name="TextBox 120">
          <a:extLst>
            <a:ext uri="{FF2B5EF4-FFF2-40B4-BE49-F238E27FC236}">
              <a16:creationId xmlns:a16="http://schemas.microsoft.com/office/drawing/2014/main" id="{00000000-0008-0000-0000-000079000000}"/>
            </a:ext>
          </a:extLst>
        </xdr:cNvPr>
        <xdr:cNvSpPr txBox="1"/>
      </xdr:nvSpPr>
      <xdr:spPr>
        <a:xfrm>
          <a:off x="5567893" y="709082"/>
          <a:ext cx="480481"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XOSC</a:t>
          </a:r>
        </a:p>
      </xdr:txBody>
    </xdr:sp>
    <xdr:clientData/>
  </xdr:twoCellAnchor>
  <xdr:twoCellAnchor>
    <xdr:from>
      <xdr:col>11</xdr:col>
      <xdr:colOff>3048</xdr:colOff>
      <xdr:row>11</xdr:row>
      <xdr:rowOff>9417</xdr:rowOff>
    </xdr:from>
    <xdr:to>
      <xdr:col>12</xdr:col>
      <xdr:colOff>16950</xdr:colOff>
      <xdr:row>11</xdr:row>
      <xdr:rowOff>14977</xdr:rowOff>
    </xdr:to>
    <xdr:cxnSp macro="">
      <xdr:nvCxnSpPr>
        <xdr:cNvPr id="147" name="Straight Arrow Connector 146">
          <a:extLst>
            <a:ext uri="{FF2B5EF4-FFF2-40B4-BE49-F238E27FC236}">
              <a16:creationId xmlns:a16="http://schemas.microsoft.com/office/drawing/2014/main" id="{00000000-0008-0000-0000-000093000000}"/>
            </a:ext>
          </a:extLst>
        </xdr:cNvPr>
        <xdr:cNvCxnSpPr>
          <a:stCxn id="9" idx="2"/>
          <a:endCxn id="16" idx="1"/>
        </xdr:cNvCxnSpPr>
      </xdr:nvCxnSpPr>
      <xdr:spPr>
        <a:xfrm>
          <a:off x="6099048" y="1180992"/>
          <a:ext cx="623502" cy="556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599172</xdr:colOff>
      <xdr:row>11</xdr:row>
      <xdr:rowOff>14977</xdr:rowOff>
    </xdr:from>
    <xdr:to>
      <xdr:col>13</xdr:col>
      <xdr:colOff>586587</xdr:colOff>
      <xdr:row>14</xdr:row>
      <xdr:rowOff>79946</xdr:rowOff>
    </xdr:to>
    <xdr:cxnSp macro="">
      <xdr:nvCxnSpPr>
        <xdr:cNvPr id="151" name="Straight Arrow Connector 150">
          <a:extLst>
            <a:ext uri="{FF2B5EF4-FFF2-40B4-BE49-F238E27FC236}">
              <a16:creationId xmlns:a16="http://schemas.microsoft.com/office/drawing/2014/main" id="{00000000-0008-0000-0000-000097000000}"/>
            </a:ext>
          </a:extLst>
        </xdr:cNvPr>
        <xdr:cNvCxnSpPr/>
      </xdr:nvCxnSpPr>
      <xdr:spPr>
        <a:xfrm>
          <a:off x="7885797" y="2985586"/>
          <a:ext cx="594634" cy="678141"/>
        </a:xfrm>
        <a:prstGeom prst="bentConnector3">
          <a:avLst>
            <a:gd name="adj1" fmla="val 55006"/>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24467</xdr:colOff>
      <xdr:row>11</xdr:row>
      <xdr:rowOff>14822</xdr:rowOff>
    </xdr:from>
    <xdr:to>
      <xdr:col>24</xdr:col>
      <xdr:colOff>8628</xdr:colOff>
      <xdr:row>12</xdr:row>
      <xdr:rowOff>14907</xdr:rowOff>
    </xdr:to>
    <xdr:sp macro="" textlink="">
      <xdr:nvSpPr>
        <xdr:cNvPr id="152" name="Rectangle 151">
          <a:extLst>
            <a:ext uri="{FF2B5EF4-FFF2-40B4-BE49-F238E27FC236}">
              <a16:creationId xmlns:a16="http://schemas.microsoft.com/office/drawing/2014/main" id="{00000000-0008-0000-0000-000098000000}"/>
            </a:ext>
          </a:extLst>
        </xdr:cNvPr>
        <xdr:cNvSpPr/>
      </xdr:nvSpPr>
      <xdr:spPr>
        <a:xfrm>
          <a:off x="14099486" y="2549937"/>
          <a:ext cx="606950" cy="1979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23</xdr:col>
      <xdr:colOff>24467</xdr:colOff>
      <xdr:row>7</xdr:row>
      <xdr:rowOff>14829</xdr:rowOff>
    </xdr:from>
    <xdr:to>
      <xdr:col>24</xdr:col>
      <xdr:colOff>8628</xdr:colOff>
      <xdr:row>8</xdr:row>
      <xdr:rowOff>25497</xdr:rowOff>
    </xdr:to>
    <xdr:sp macro="" textlink="">
      <xdr:nvSpPr>
        <xdr:cNvPr id="153" name="Rectangle 152">
          <a:extLst>
            <a:ext uri="{FF2B5EF4-FFF2-40B4-BE49-F238E27FC236}">
              <a16:creationId xmlns:a16="http://schemas.microsoft.com/office/drawing/2014/main" id="{00000000-0008-0000-0000-000099000000}"/>
            </a:ext>
          </a:extLst>
        </xdr:cNvPr>
        <xdr:cNvSpPr/>
      </xdr:nvSpPr>
      <xdr:spPr>
        <a:xfrm>
          <a:off x="14099486" y="1700021"/>
          <a:ext cx="606950" cy="2231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CMU_1</a:t>
          </a:r>
          <a:endParaRPr lang="en-US" sz="800"/>
        </a:p>
      </xdr:txBody>
    </xdr:sp>
    <xdr:clientData/>
  </xdr:twoCellAnchor>
  <xdr:twoCellAnchor>
    <xdr:from>
      <xdr:col>24</xdr:col>
      <xdr:colOff>535882</xdr:colOff>
      <xdr:row>16</xdr:row>
      <xdr:rowOff>19062</xdr:rowOff>
    </xdr:from>
    <xdr:to>
      <xdr:col>25</xdr:col>
      <xdr:colOff>567886</xdr:colOff>
      <xdr:row>17</xdr:row>
      <xdr:rowOff>19147</xdr:rowOff>
    </xdr:to>
    <xdr:sp macro="" textlink="">
      <xdr:nvSpPr>
        <xdr:cNvPr id="154" name="Rectangle 153">
          <a:extLst>
            <a:ext uri="{FF2B5EF4-FFF2-40B4-BE49-F238E27FC236}">
              <a16:creationId xmlns:a16="http://schemas.microsoft.com/office/drawing/2014/main" id="{00000000-0008-0000-0000-00009A000000}"/>
            </a:ext>
          </a:extLst>
        </xdr:cNvPr>
        <xdr:cNvSpPr/>
      </xdr:nvSpPr>
      <xdr:spPr>
        <a:xfrm>
          <a:off x="15233690" y="3587274"/>
          <a:ext cx="603504" cy="2125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CMU_2</a:t>
          </a:r>
          <a:endParaRPr lang="en-US" sz="800"/>
        </a:p>
      </xdr:txBody>
    </xdr:sp>
    <xdr:clientData/>
  </xdr:twoCellAnchor>
  <xdr:twoCellAnchor>
    <xdr:from>
      <xdr:col>13</xdr:col>
      <xdr:colOff>15765</xdr:colOff>
      <xdr:row>9</xdr:row>
      <xdr:rowOff>74084</xdr:rowOff>
    </xdr:from>
    <xdr:to>
      <xdr:col>17</xdr:col>
      <xdr:colOff>582084</xdr:colOff>
      <xdr:row>11</xdr:row>
      <xdr:rowOff>14977</xdr:rowOff>
    </xdr:to>
    <xdr:cxnSp macro="">
      <xdr:nvCxnSpPr>
        <xdr:cNvPr id="156" name="Straight Arrow Connector 155">
          <a:extLst>
            <a:ext uri="{FF2B5EF4-FFF2-40B4-BE49-F238E27FC236}">
              <a16:creationId xmlns:a16="http://schemas.microsoft.com/office/drawing/2014/main" id="{00000000-0008-0000-0000-00009C000000}"/>
            </a:ext>
          </a:extLst>
        </xdr:cNvPr>
        <xdr:cNvCxnSpPr>
          <a:stCxn id="16" idx="3"/>
        </xdr:cNvCxnSpPr>
      </xdr:nvCxnSpPr>
      <xdr:spPr>
        <a:xfrm flipV="1">
          <a:off x="7330965" y="845609"/>
          <a:ext cx="3004719" cy="340943"/>
        </a:xfrm>
        <a:prstGeom prst="bentConnector3">
          <a:avLst>
            <a:gd name="adj1" fmla="val 10058"/>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24467</xdr:colOff>
      <xdr:row>7</xdr:row>
      <xdr:rowOff>115412</xdr:rowOff>
    </xdr:from>
    <xdr:to>
      <xdr:col>23</xdr:col>
      <xdr:colOff>31469</xdr:colOff>
      <xdr:row>11</xdr:row>
      <xdr:rowOff>115405</xdr:rowOff>
    </xdr:to>
    <xdr:cxnSp macro="">
      <xdr:nvCxnSpPr>
        <xdr:cNvPr id="166" name="Straight Arrow Connector 165">
          <a:extLst>
            <a:ext uri="{FF2B5EF4-FFF2-40B4-BE49-F238E27FC236}">
              <a16:creationId xmlns:a16="http://schemas.microsoft.com/office/drawing/2014/main" id="{00000000-0008-0000-0000-0000A6000000}"/>
            </a:ext>
          </a:extLst>
        </xdr:cNvPr>
        <xdr:cNvCxnSpPr>
          <a:stCxn id="153" idx="1"/>
          <a:endCxn id="152" idx="1"/>
        </xdr:cNvCxnSpPr>
      </xdr:nvCxnSpPr>
      <xdr:spPr>
        <a:xfrm rot="10800000" flipV="1">
          <a:off x="14099486" y="1800604"/>
          <a:ext cx="7002" cy="849916"/>
        </a:xfrm>
        <a:prstGeom prst="bentConnector3">
          <a:avLst>
            <a:gd name="adj1" fmla="val 1800000"/>
          </a:avLst>
        </a:prstGeom>
        <a:ln w="19050">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8628</xdr:colOff>
      <xdr:row>11</xdr:row>
      <xdr:rowOff>113778</xdr:rowOff>
    </xdr:from>
    <xdr:to>
      <xdr:col>25</xdr:col>
      <xdr:colOff>600807</xdr:colOff>
      <xdr:row>11</xdr:row>
      <xdr:rowOff>113778</xdr:rowOff>
    </xdr:to>
    <xdr:cxnSp macro="">
      <xdr:nvCxnSpPr>
        <xdr:cNvPr id="169" name="Straight Arrow Connector 168">
          <a:extLst>
            <a:ext uri="{FF2B5EF4-FFF2-40B4-BE49-F238E27FC236}">
              <a16:creationId xmlns:a16="http://schemas.microsoft.com/office/drawing/2014/main" id="{00000000-0008-0000-0000-0000A9000000}"/>
            </a:ext>
          </a:extLst>
        </xdr:cNvPr>
        <xdr:cNvCxnSpPr>
          <a:stCxn id="152" idx="3"/>
        </xdr:cNvCxnSpPr>
      </xdr:nvCxnSpPr>
      <xdr:spPr>
        <a:xfrm>
          <a:off x="14706436" y="2648893"/>
          <a:ext cx="1163679"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1994</xdr:colOff>
      <xdr:row>14</xdr:row>
      <xdr:rowOff>79417</xdr:rowOff>
    </xdr:from>
    <xdr:to>
      <xdr:col>25</xdr:col>
      <xdr:colOff>586154</xdr:colOff>
      <xdr:row>14</xdr:row>
      <xdr:rowOff>79417</xdr:rowOff>
    </xdr:to>
    <xdr:cxnSp macro="">
      <xdr:nvCxnSpPr>
        <xdr:cNvPr id="176" name="Straight Arrow Connector 175">
          <a:extLst>
            <a:ext uri="{FF2B5EF4-FFF2-40B4-BE49-F238E27FC236}">
              <a16:creationId xmlns:a16="http://schemas.microsoft.com/office/drawing/2014/main" id="{00000000-0008-0000-0000-0000B0000000}"/>
            </a:ext>
          </a:extLst>
        </xdr:cNvPr>
        <xdr:cNvCxnSpPr/>
      </xdr:nvCxnSpPr>
      <xdr:spPr>
        <a:xfrm>
          <a:off x="9124013" y="3222667"/>
          <a:ext cx="6731449"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266134</xdr:colOff>
      <xdr:row>14</xdr:row>
      <xdr:rowOff>85725</xdr:rowOff>
    </xdr:from>
    <xdr:to>
      <xdr:col>25</xdr:col>
      <xdr:colOff>268152</xdr:colOff>
      <xdr:row>16</xdr:row>
      <xdr:rowOff>19062</xdr:rowOff>
    </xdr:to>
    <xdr:cxnSp macro="">
      <xdr:nvCxnSpPr>
        <xdr:cNvPr id="178" name="Straight Arrow Connector 177">
          <a:extLst>
            <a:ext uri="{FF2B5EF4-FFF2-40B4-BE49-F238E27FC236}">
              <a16:creationId xmlns:a16="http://schemas.microsoft.com/office/drawing/2014/main" id="{00000000-0008-0000-0000-0000B2000000}"/>
            </a:ext>
          </a:extLst>
        </xdr:cNvPr>
        <xdr:cNvCxnSpPr>
          <a:endCxn id="154" idx="0"/>
        </xdr:cNvCxnSpPr>
      </xdr:nvCxnSpPr>
      <xdr:spPr>
        <a:xfrm flipH="1">
          <a:off x="15535442" y="3228975"/>
          <a:ext cx="2018" cy="358299"/>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12991</xdr:colOff>
      <xdr:row>12</xdr:row>
      <xdr:rowOff>2</xdr:rowOff>
    </xdr:from>
    <xdr:to>
      <xdr:col>3</xdr:col>
      <xdr:colOff>409576</xdr:colOff>
      <xdr:row>19</xdr:row>
      <xdr:rowOff>27189</xdr:rowOff>
    </xdr:to>
    <xdr:cxnSp macro="">
      <xdr:nvCxnSpPr>
        <xdr:cNvPr id="182" name="Straight Arrow Connector 181">
          <a:extLst>
            <a:ext uri="{FF2B5EF4-FFF2-40B4-BE49-F238E27FC236}">
              <a16:creationId xmlns:a16="http://schemas.microsoft.com/office/drawing/2014/main" id="{00000000-0008-0000-0000-0000B6000000}"/>
            </a:ext>
          </a:extLst>
        </xdr:cNvPr>
        <xdr:cNvCxnSpPr>
          <a:endCxn id="7" idx="1"/>
        </xdr:cNvCxnSpPr>
      </xdr:nvCxnSpPr>
      <xdr:spPr>
        <a:xfrm rot="16200000" flipH="1">
          <a:off x="1340690" y="2997519"/>
          <a:ext cx="1403983" cy="396585"/>
        </a:xfrm>
        <a:prstGeom prst="bentConnector2">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600075</xdr:colOff>
      <xdr:row>12</xdr:row>
      <xdr:rowOff>190500</xdr:rowOff>
    </xdr:from>
    <xdr:to>
      <xdr:col>12</xdr:col>
      <xdr:colOff>321158</xdr:colOff>
      <xdr:row>13</xdr:row>
      <xdr:rowOff>160921</xdr:rowOff>
    </xdr:to>
    <xdr:cxnSp macro="">
      <xdr:nvCxnSpPr>
        <xdr:cNvPr id="193" name="Elbow Connector 192">
          <a:extLst>
            <a:ext uri="{FF2B5EF4-FFF2-40B4-BE49-F238E27FC236}">
              <a16:creationId xmlns:a16="http://schemas.microsoft.com/office/drawing/2014/main" id="{00000000-0008-0000-0000-0000C1000000}"/>
            </a:ext>
          </a:extLst>
        </xdr:cNvPr>
        <xdr:cNvCxnSpPr>
          <a:endCxn id="16" idx="2"/>
        </xdr:cNvCxnSpPr>
      </xdr:nvCxnSpPr>
      <xdr:spPr>
        <a:xfrm>
          <a:off x="5476875" y="1562100"/>
          <a:ext cx="1549883" cy="170446"/>
        </a:xfrm>
        <a:prstGeom prst="bentConnector4">
          <a:avLst>
            <a:gd name="adj1" fmla="val -14510"/>
            <a:gd name="adj2" fmla="val 575005"/>
          </a:avLst>
        </a:prstGeom>
        <a:ln w="19050">
          <a:solidFill>
            <a:srgbClr val="0070C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19050</xdr:colOff>
      <xdr:row>17</xdr:row>
      <xdr:rowOff>180975</xdr:rowOff>
    </xdr:from>
    <xdr:to>
      <xdr:col>11</xdr:col>
      <xdr:colOff>19050</xdr:colOff>
      <xdr:row>19</xdr:row>
      <xdr:rowOff>66675</xdr:rowOff>
    </xdr:to>
    <xdr:cxnSp macro="">
      <xdr:nvCxnSpPr>
        <xdr:cNvPr id="199" name="Straight Connector 198">
          <a:extLst>
            <a:ext uri="{FF2B5EF4-FFF2-40B4-BE49-F238E27FC236}">
              <a16:creationId xmlns:a16="http://schemas.microsoft.com/office/drawing/2014/main" id="{00000000-0008-0000-0000-0000C7000000}"/>
            </a:ext>
          </a:extLst>
        </xdr:cNvPr>
        <xdr:cNvCxnSpPr/>
      </xdr:nvCxnSpPr>
      <xdr:spPr>
        <a:xfrm>
          <a:off x="6115050" y="2552700"/>
          <a:ext cx="0" cy="276225"/>
        </a:xfrm>
        <a:prstGeom prst="line">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10</xdr:col>
      <xdr:colOff>338667</xdr:colOff>
      <xdr:row>19</xdr:row>
      <xdr:rowOff>4232</xdr:rowOff>
    </xdr:from>
    <xdr:ext cx="585257" cy="262467"/>
    <xdr:sp macro="" textlink="">
      <xdr:nvSpPr>
        <xdr:cNvPr id="200" name="TextBox 199">
          <a:extLst>
            <a:ext uri="{FF2B5EF4-FFF2-40B4-BE49-F238E27FC236}">
              <a16:creationId xmlns:a16="http://schemas.microsoft.com/office/drawing/2014/main" id="{00000000-0008-0000-0000-0000C8000000}"/>
            </a:ext>
          </a:extLst>
        </xdr:cNvPr>
        <xdr:cNvSpPr txBox="1"/>
      </xdr:nvSpPr>
      <xdr:spPr>
        <a:xfrm>
          <a:off x="5825067" y="2766482"/>
          <a:ext cx="585257"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IRCOSC</a:t>
          </a:r>
        </a:p>
      </xdr:txBody>
    </xdr:sp>
    <xdr:clientData/>
  </xdr:oneCellAnchor>
  <xdr:twoCellAnchor>
    <xdr:from>
      <xdr:col>5</xdr:col>
      <xdr:colOff>12143</xdr:colOff>
      <xdr:row>25</xdr:row>
      <xdr:rowOff>185883</xdr:rowOff>
    </xdr:from>
    <xdr:to>
      <xdr:col>6</xdr:col>
      <xdr:colOff>8428</xdr:colOff>
      <xdr:row>26</xdr:row>
      <xdr:rowOff>185968</xdr:rowOff>
    </xdr:to>
    <xdr:sp macro="" textlink="">
      <xdr:nvSpPr>
        <xdr:cNvPr id="202" name="Rectangle 201">
          <a:extLst>
            <a:ext uri="{FF2B5EF4-FFF2-40B4-BE49-F238E27FC236}">
              <a16:creationId xmlns:a16="http://schemas.microsoft.com/office/drawing/2014/main" id="{00000000-0008-0000-0000-0000CA000000}"/>
            </a:ext>
          </a:extLst>
        </xdr:cNvPr>
        <xdr:cNvSpPr/>
      </xdr:nvSpPr>
      <xdr:spPr>
        <a:xfrm>
          <a:off x="3048237" y="5335336"/>
          <a:ext cx="603504" cy="2084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CMU_0</a:t>
          </a:r>
          <a:endParaRPr lang="en-US" sz="800"/>
        </a:p>
      </xdr:txBody>
    </xdr:sp>
    <xdr:clientData/>
  </xdr:twoCellAnchor>
  <xdr:twoCellAnchor>
    <xdr:from>
      <xdr:col>2</xdr:col>
      <xdr:colOff>228446</xdr:colOff>
      <xdr:row>9</xdr:row>
      <xdr:rowOff>57148</xdr:rowOff>
    </xdr:from>
    <xdr:to>
      <xdr:col>4</xdr:col>
      <xdr:colOff>302896</xdr:colOff>
      <xdr:row>11</xdr:row>
      <xdr:rowOff>188586</xdr:rowOff>
    </xdr:to>
    <xdr:cxnSp macro="">
      <xdr:nvCxnSpPr>
        <xdr:cNvPr id="220" name="Straight Arrow Connector 219">
          <a:extLst>
            <a:ext uri="{FF2B5EF4-FFF2-40B4-BE49-F238E27FC236}">
              <a16:creationId xmlns:a16="http://schemas.microsoft.com/office/drawing/2014/main" id="{00000000-0008-0000-0000-0000DC000000}"/>
            </a:ext>
          </a:extLst>
        </xdr:cNvPr>
        <xdr:cNvCxnSpPr>
          <a:stCxn id="191" idx="3"/>
          <a:endCxn id="4" idx="0"/>
        </xdr:cNvCxnSpPr>
      </xdr:nvCxnSpPr>
      <xdr:spPr>
        <a:xfrm flipV="1">
          <a:off x="1449378" y="1936171"/>
          <a:ext cx="1295382" cy="547074"/>
        </a:xfrm>
        <a:prstGeom prst="bentConnector4">
          <a:avLst>
            <a:gd name="adj1" fmla="val 30555"/>
            <a:gd name="adj2" fmla="val 141786"/>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196877</xdr:colOff>
      <xdr:row>32</xdr:row>
      <xdr:rowOff>21539</xdr:rowOff>
    </xdr:from>
    <xdr:to>
      <xdr:col>2</xdr:col>
      <xdr:colOff>196877</xdr:colOff>
      <xdr:row>32</xdr:row>
      <xdr:rowOff>21539</xdr:rowOff>
    </xdr:to>
    <xdr:cxnSp macro="">
      <xdr:nvCxnSpPr>
        <xdr:cNvPr id="236" name="Straight Arrow Connector 235">
          <a:extLst>
            <a:ext uri="{FF2B5EF4-FFF2-40B4-BE49-F238E27FC236}">
              <a16:creationId xmlns:a16="http://schemas.microsoft.com/office/drawing/2014/main" id="{00000000-0008-0000-0000-0000EC000000}"/>
            </a:ext>
          </a:extLst>
        </xdr:cNvPr>
        <xdr:cNvCxnSpPr>
          <a:stCxn id="3" idx="3"/>
          <a:endCxn id="3" idx="3"/>
        </xdr:cNvCxnSpPr>
      </xdr:nvCxnSpPr>
      <xdr:spPr>
        <a:xfrm>
          <a:off x="1416077" y="7289114"/>
          <a:ext cx="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245270</xdr:colOff>
      <xdr:row>9</xdr:row>
      <xdr:rowOff>180974</xdr:rowOff>
    </xdr:from>
    <xdr:ext cx="583405" cy="273845"/>
    <xdr:sp macro="" textlink="">
      <xdr:nvSpPr>
        <xdr:cNvPr id="244" name="TextBox 243">
          <a:hlinkClick xmlns:r="http://schemas.openxmlformats.org/officeDocument/2006/relationships" r:id="rId5"/>
          <a:extLst>
            <a:ext uri="{FF2B5EF4-FFF2-40B4-BE49-F238E27FC236}">
              <a16:creationId xmlns:a16="http://schemas.microsoft.com/office/drawing/2014/main" id="{00000000-0008-0000-0000-0000F4000000}"/>
            </a:ext>
          </a:extLst>
        </xdr:cNvPr>
        <xdr:cNvSpPr txBox="1"/>
      </xdr:nvSpPr>
      <xdr:spPr>
        <a:xfrm>
          <a:off x="4512470" y="952499"/>
          <a:ext cx="583405" cy="27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PLL1_PHI</a:t>
          </a:r>
          <a:endParaRPr lang="en-US" sz="800"/>
        </a:p>
      </xdr:txBody>
    </xdr:sp>
    <xdr:clientData/>
  </xdr:oneCellAnchor>
  <xdr:twoCellAnchor>
    <xdr:from>
      <xdr:col>10</xdr:col>
      <xdr:colOff>601128</xdr:colOff>
      <xdr:row>20</xdr:row>
      <xdr:rowOff>104775</xdr:rowOff>
    </xdr:from>
    <xdr:to>
      <xdr:col>13</xdr:col>
      <xdr:colOff>0</xdr:colOff>
      <xdr:row>24</xdr:row>
      <xdr:rowOff>2332</xdr:rowOff>
    </xdr:to>
    <xdr:cxnSp macro="">
      <xdr:nvCxnSpPr>
        <xdr:cNvPr id="256" name="Straight Arrow Connector 255">
          <a:extLst>
            <a:ext uri="{FF2B5EF4-FFF2-40B4-BE49-F238E27FC236}">
              <a16:creationId xmlns:a16="http://schemas.microsoft.com/office/drawing/2014/main" id="{00000000-0008-0000-0000-000000010000}"/>
            </a:ext>
          </a:extLst>
        </xdr:cNvPr>
        <xdr:cNvCxnSpPr>
          <a:stCxn id="43" idx="2"/>
        </xdr:cNvCxnSpPr>
      </xdr:nvCxnSpPr>
      <xdr:spPr>
        <a:xfrm flipV="1">
          <a:off x="6697128" y="4305300"/>
          <a:ext cx="1227672" cy="716707"/>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601128</xdr:colOff>
      <xdr:row>23</xdr:row>
      <xdr:rowOff>92249</xdr:rowOff>
    </xdr:from>
    <xdr:to>
      <xdr:col>13</xdr:col>
      <xdr:colOff>2386</xdr:colOff>
      <xdr:row>24</xdr:row>
      <xdr:rowOff>2332</xdr:rowOff>
    </xdr:to>
    <xdr:cxnSp macro="">
      <xdr:nvCxnSpPr>
        <xdr:cNvPr id="258" name="Straight Arrow Connector 257">
          <a:extLst>
            <a:ext uri="{FF2B5EF4-FFF2-40B4-BE49-F238E27FC236}">
              <a16:creationId xmlns:a16="http://schemas.microsoft.com/office/drawing/2014/main" id="{00000000-0008-0000-0000-000002010000}"/>
            </a:ext>
          </a:extLst>
        </xdr:cNvPr>
        <xdr:cNvCxnSpPr/>
      </xdr:nvCxnSpPr>
      <xdr:spPr>
        <a:xfrm flipV="1">
          <a:off x="6697128" y="4921424"/>
          <a:ext cx="1230058" cy="110108"/>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601127</xdr:colOff>
      <xdr:row>24</xdr:row>
      <xdr:rowOff>1141</xdr:rowOff>
    </xdr:from>
    <xdr:to>
      <xdr:col>12</xdr:col>
      <xdr:colOff>604842</xdr:colOff>
      <xdr:row>26</xdr:row>
      <xdr:rowOff>81534</xdr:rowOff>
    </xdr:to>
    <xdr:cxnSp macro="">
      <xdr:nvCxnSpPr>
        <xdr:cNvPr id="260" name="Straight Arrow Connector 259">
          <a:extLst>
            <a:ext uri="{FF2B5EF4-FFF2-40B4-BE49-F238E27FC236}">
              <a16:creationId xmlns:a16="http://schemas.microsoft.com/office/drawing/2014/main" id="{00000000-0008-0000-0000-000004010000}"/>
            </a:ext>
          </a:extLst>
        </xdr:cNvPr>
        <xdr:cNvCxnSpPr/>
      </xdr:nvCxnSpPr>
      <xdr:spPr>
        <a:xfrm>
          <a:off x="6697127" y="5039866"/>
          <a:ext cx="1222915" cy="499493"/>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340520</xdr:colOff>
      <xdr:row>19</xdr:row>
      <xdr:rowOff>47625</xdr:rowOff>
    </xdr:from>
    <xdr:ext cx="183355" cy="219076"/>
    <xdr:sp macro="" textlink="">
      <xdr:nvSpPr>
        <xdr:cNvPr id="261" name="TextBox 260">
          <a:extLst>
            <a:ext uri="{FF2B5EF4-FFF2-40B4-BE49-F238E27FC236}">
              <a16:creationId xmlns:a16="http://schemas.microsoft.com/office/drawing/2014/main" id="{00000000-0008-0000-0000-000005010000}"/>
            </a:ext>
          </a:extLst>
        </xdr:cNvPr>
        <xdr:cNvSpPr txBox="1"/>
      </xdr:nvSpPr>
      <xdr:spPr>
        <a:xfrm>
          <a:off x="7046120" y="2809875"/>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0</a:t>
          </a:r>
          <a:endParaRPr lang="en-US" sz="800"/>
        </a:p>
      </xdr:txBody>
    </xdr:sp>
    <xdr:clientData/>
  </xdr:oneCellAnchor>
  <xdr:oneCellAnchor>
    <xdr:from>
      <xdr:col>12</xdr:col>
      <xdr:colOff>302420</xdr:colOff>
      <xdr:row>22</xdr:row>
      <xdr:rowOff>47625</xdr:rowOff>
    </xdr:from>
    <xdr:ext cx="183355" cy="219076"/>
    <xdr:sp macro="" textlink="">
      <xdr:nvSpPr>
        <xdr:cNvPr id="262" name="TextBox 261">
          <a:extLst>
            <a:ext uri="{FF2B5EF4-FFF2-40B4-BE49-F238E27FC236}">
              <a16:creationId xmlns:a16="http://schemas.microsoft.com/office/drawing/2014/main" id="{00000000-0008-0000-0000-000006010000}"/>
            </a:ext>
          </a:extLst>
        </xdr:cNvPr>
        <xdr:cNvSpPr txBox="1"/>
      </xdr:nvSpPr>
      <xdr:spPr>
        <a:xfrm>
          <a:off x="7008020" y="3409950"/>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1</a:t>
          </a:r>
        </a:p>
      </xdr:txBody>
    </xdr:sp>
    <xdr:clientData/>
  </xdr:oneCellAnchor>
  <xdr:oneCellAnchor>
    <xdr:from>
      <xdr:col>12</xdr:col>
      <xdr:colOff>264320</xdr:colOff>
      <xdr:row>25</xdr:row>
      <xdr:rowOff>28575</xdr:rowOff>
    </xdr:from>
    <xdr:ext cx="183355" cy="219076"/>
    <xdr:sp macro="" textlink="">
      <xdr:nvSpPr>
        <xdr:cNvPr id="263" name="TextBox 262">
          <a:extLst>
            <a:ext uri="{FF2B5EF4-FFF2-40B4-BE49-F238E27FC236}">
              <a16:creationId xmlns:a16="http://schemas.microsoft.com/office/drawing/2014/main" id="{00000000-0008-0000-0000-000007010000}"/>
            </a:ext>
          </a:extLst>
        </xdr:cNvPr>
        <xdr:cNvSpPr txBox="1"/>
      </xdr:nvSpPr>
      <xdr:spPr>
        <a:xfrm>
          <a:off x="6969920" y="3990975"/>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a:t>
          </a:r>
        </a:p>
      </xdr:txBody>
    </xdr:sp>
    <xdr:clientData/>
  </xdr:oneCellAnchor>
  <xdr:twoCellAnchor>
    <xdr:from>
      <xdr:col>17</xdr:col>
      <xdr:colOff>603508</xdr:colOff>
      <xdr:row>20</xdr:row>
      <xdr:rowOff>90487</xdr:rowOff>
    </xdr:from>
    <xdr:to>
      <xdr:col>25</xdr:col>
      <xdr:colOff>593480</xdr:colOff>
      <xdr:row>20</xdr:row>
      <xdr:rowOff>90487</xdr:rowOff>
    </xdr:to>
    <xdr:cxnSp macro="">
      <xdr:nvCxnSpPr>
        <xdr:cNvPr id="265" name="Straight Arrow Connector 264">
          <a:extLst>
            <a:ext uri="{FF2B5EF4-FFF2-40B4-BE49-F238E27FC236}">
              <a16:creationId xmlns:a16="http://schemas.microsoft.com/office/drawing/2014/main" id="{00000000-0008-0000-0000-000009010000}"/>
            </a:ext>
          </a:extLst>
        </xdr:cNvPr>
        <xdr:cNvCxnSpPr/>
      </xdr:nvCxnSpPr>
      <xdr:spPr>
        <a:xfrm>
          <a:off x="10941796" y="4450006"/>
          <a:ext cx="49209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8196</xdr:colOff>
      <xdr:row>23</xdr:row>
      <xdr:rowOff>92249</xdr:rowOff>
    </xdr:from>
    <xdr:to>
      <xdr:col>25</xdr:col>
      <xdr:colOff>578827</xdr:colOff>
      <xdr:row>23</xdr:row>
      <xdr:rowOff>92249</xdr:rowOff>
    </xdr:to>
    <xdr:cxnSp macro="">
      <xdr:nvCxnSpPr>
        <xdr:cNvPr id="271" name="Straight Arrow Connector 270">
          <a:extLst>
            <a:ext uri="{FF2B5EF4-FFF2-40B4-BE49-F238E27FC236}">
              <a16:creationId xmlns:a16="http://schemas.microsoft.com/office/drawing/2014/main" id="{00000000-0008-0000-0000-00000F010000}"/>
            </a:ext>
          </a:extLst>
        </xdr:cNvPr>
        <xdr:cNvCxnSpPr/>
      </xdr:nvCxnSpPr>
      <xdr:spPr>
        <a:xfrm>
          <a:off x="10954619" y="5089211"/>
          <a:ext cx="489351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591602</xdr:colOff>
      <xdr:row>26</xdr:row>
      <xdr:rowOff>82725</xdr:rowOff>
    </xdr:from>
    <xdr:to>
      <xdr:col>26</xdr:col>
      <xdr:colOff>7327</xdr:colOff>
      <xdr:row>26</xdr:row>
      <xdr:rowOff>82725</xdr:rowOff>
    </xdr:to>
    <xdr:cxnSp macro="">
      <xdr:nvCxnSpPr>
        <xdr:cNvPr id="273" name="Straight Arrow Connector 272">
          <a:extLst>
            <a:ext uri="{FF2B5EF4-FFF2-40B4-BE49-F238E27FC236}">
              <a16:creationId xmlns:a16="http://schemas.microsoft.com/office/drawing/2014/main" id="{00000000-0008-0000-0000-000011010000}"/>
            </a:ext>
          </a:extLst>
        </xdr:cNvPr>
        <xdr:cNvCxnSpPr/>
      </xdr:nvCxnSpPr>
      <xdr:spPr>
        <a:xfrm>
          <a:off x="10929890" y="5717129"/>
          <a:ext cx="4954879"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547632</xdr:colOff>
      <xdr:row>25</xdr:row>
      <xdr:rowOff>42246</xdr:rowOff>
    </xdr:from>
    <xdr:to>
      <xdr:col>25</xdr:col>
      <xdr:colOff>297466</xdr:colOff>
      <xdr:row>26</xdr:row>
      <xdr:rowOff>82725</xdr:rowOff>
    </xdr:to>
    <xdr:cxnSp macro="">
      <xdr:nvCxnSpPr>
        <xdr:cNvPr id="275" name="Straight Arrow Connector 274">
          <a:extLst>
            <a:ext uri="{FF2B5EF4-FFF2-40B4-BE49-F238E27FC236}">
              <a16:creationId xmlns:a16="http://schemas.microsoft.com/office/drawing/2014/main" id="{00000000-0008-0000-0000-000013010000}"/>
            </a:ext>
          </a:extLst>
        </xdr:cNvPr>
        <xdr:cNvCxnSpPr>
          <a:endCxn id="26" idx="1"/>
        </xdr:cNvCxnSpPr>
      </xdr:nvCxnSpPr>
      <xdr:spPr>
        <a:xfrm flipV="1">
          <a:off x="15245440" y="5464169"/>
          <a:ext cx="321334" cy="252960"/>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8428</xdr:colOff>
      <xdr:row>26</xdr:row>
      <xdr:rowOff>81746</xdr:rowOff>
    </xdr:from>
    <xdr:to>
      <xdr:col>6</xdr:col>
      <xdr:colOff>597028</xdr:colOff>
      <xdr:row>26</xdr:row>
      <xdr:rowOff>81887</xdr:rowOff>
    </xdr:to>
    <xdr:cxnSp macro="">
      <xdr:nvCxnSpPr>
        <xdr:cNvPr id="298" name="Straight Arrow Connector 297">
          <a:extLst>
            <a:ext uri="{FF2B5EF4-FFF2-40B4-BE49-F238E27FC236}">
              <a16:creationId xmlns:a16="http://schemas.microsoft.com/office/drawing/2014/main" id="{00000000-0008-0000-0000-00002A010000}"/>
            </a:ext>
          </a:extLst>
        </xdr:cNvPr>
        <xdr:cNvCxnSpPr>
          <a:stCxn id="301" idx="1"/>
          <a:endCxn id="202" idx="3"/>
        </xdr:cNvCxnSpPr>
      </xdr:nvCxnSpPr>
      <xdr:spPr>
        <a:xfrm flipH="1" flipV="1">
          <a:off x="3651741" y="5439559"/>
          <a:ext cx="588600" cy="141"/>
        </a:xfrm>
        <a:prstGeom prst="straightConnector1">
          <a:avLst/>
        </a:prstGeom>
        <a:ln w="19050">
          <a:solidFill>
            <a:srgbClr val="7030A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597028</xdr:colOff>
      <xdr:row>25</xdr:row>
      <xdr:rowOff>159013</xdr:rowOff>
    </xdr:from>
    <xdr:ext cx="861482" cy="262467"/>
    <xdr:sp macro="" textlink="">
      <xdr:nvSpPr>
        <xdr:cNvPr id="301" name="TextBox 300">
          <a:hlinkClick xmlns:r="http://schemas.openxmlformats.org/officeDocument/2006/relationships" r:id="rId6"/>
          <a:extLst>
            <a:ext uri="{FF2B5EF4-FFF2-40B4-BE49-F238E27FC236}">
              <a16:creationId xmlns:a16="http://schemas.microsoft.com/office/drawing/2014/main" id="{00000000-0008-0000-0000-00002D010000}"/>
            </a:ext>
          </a:extLst>
        </xdr:cNvPr>
        <xdr:cNvSpPr txBox="1"/>
      </xdr:nvSpPr>
      <xdr:spPr>
        <a:xfrm>
          <a:off x="4240341" y="5308466"/>
          <a:ext cx="861482"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MOTC_CLK</a:t>
          </a:r>
        </a:p>
      </xdr:txBody>
    </xdr:sp>
    <xdr:clientData/>
  </xdr:oneCellAnchor>
  <xdr:twoCellAnchor>
    <xdr:from>
      <xdr:col>7</xdr:col>
      <xdr:colOff>205741</xdr:colOff>
      <xdr:row>12</xdr:row>
      <xdr:rowOff>175693</xdr:rowOff>
    </xdr:from>
    <xdr:to>
      <xdr:col>9</xdr:col>
      <xdr:colOff>599402</xdr:colOff>
      <xdr:row>34</xdr:row>
      <xdr:rowOff>151428</xdr:rowOff>
    </xdr:to>
    <xdr:cxnSp macro="">
      <xdr:nvCxnSpPr>
        <xdr:cNvPr id="311" name="Straight Arrow Connector 310">
          <a:extLst>
            <a:ext uri="{FF2B5EF4-FFF2-40B4-BE49-F238E27FC236}">
              <a16:creationId xmlns:a16="http://schemas.microsoft.com/office/drawing/2014/main" id="{00000000-0008-0000-0000-000037010000}"/>
            </a:ext>
          </a:extLst>
        </xdr:cNvPr>
        <xdr:cNvCxnSpPr/>
      </xdr:nvCxnSpPr>
      <xdr:spPr>
        <a:xfrm>
          <a:off x="4472941" y="1547293"/>
          <a:ext cx="1612861" cy="4338185"/>
        </a:xfrm>
        <a:prstGeom prst="bentConnector3">
          <a:avLst>
            <a:gd name="adj1" fmla="val 50000"/>
          </a:avLst>
        </a:prstGeom>
        <a:ln w="19050">
          <a:solidFill>
            <a:schemeClr val="accent6">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247650</xdr:colOff>
      <xdr:row>24</xdr:row>
      <xdr:rowOff>28575</xdr:rowOff>
    </xdr:from>
    <xdr:to>
      <xdr:col>10</xdr:col>
      <xdr:colOff>3810</xdr:colOff>
      <xdr:row>24</xdr:row>
      <xdr:rowOff>28575</xdr:rowOff>
    </xdr:to>
    <xdr:cxnSp macro="">
      <xdr:nvCxnSpPr>
        <xdr:cNvPr id="316" name="Straight Arrow Connector 315">
          <a:extLst>
            <a:ext uri="{FF2B5EF4-FFF2-40B4-BE49-F238E27FC236}">
              <a16:creationId xmlns:a16="http://schemas.microsoft.com/office/drawing/2014/main" id="{00000000-0008-0000-0000-00003C010000}"/>
            </a:ext>
          </a:extLst>
        </xdr:cNvPr>
        <xdr:cNvCxnSpPr/>
      </xdr:nvCxnSpPr>
      <xdr:spPr>
        <a:xfrm>
          <a:off x="5124450" y="3790950"/>
          <a:ext cx="36576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238125</xdr:colOff>
      <xdr:row>22</xdr:row>
      <xdr:rowOff>95250</xdr:rowOff>
    </xdr:from>
    <xdr:to>
      <xdr:col>9</xdr:col>
      <xdr:colOff>603885</xdr:colOff>
      <xdr:row>22</xdr:row>
      <xdr:rowOff>95250</xdr:rowOff>
    </xdr:to>
    <xdr:cxnSp macro="">
      <xdr:nvCxnSpPr>
        <xdr:cNvPr id="323" name="Straight Arrow Connector 322">
          <a:extLst>
            <a:ext uri="{FF2B5EF4-FFF2-40B4-BE49-F238E27FC236}">
              <a16:creationId xmlns:a16="http://schemas.microsoft.com/office/drawing/2014/main" id="{00000000-0008-0000-0000-000043010000}"/>
            </a:ext>
          </a:extLst>
        </xdr:cNvPr>
        <xdr:cNvCxnSpPr/>
      </xdr:nvCxnSpPr>
      <xdr:spPr>
        <a:xfrm>
          <a:off x="5724525" y="3457575"/>
          <a:ext cx="36576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138643</xdr:colOff>
      <xdr:row>23</xdr:row>
      <xdr:rowOff>23282</xdr:rowOff>
    </xdr:from>
    <xdr:to>
      <xdr:col>10</xdr:col>
      <xdr:colOff>19051</xdr:colOff>
      <xdr:row>24</xdr:row>
      <xdr:rowOff>85724</xdr:rowOff>
    </xdr:to>
    <xdr:sp macro="" textlink="">
      <xdr:nvSpPr>
        <xdr:cNvPr id="324" name="TextBox 323">
          <a:extLst>
            <a:ext uri="{FF2B5EF4-FFF2-40B4-BE49-F238E27FC236}">
              <a16:creationId xmlns:a16="http://schemas.microsoft.com/office/drawing/2014/main" id="{00000000-0008-0000-0000-000044010000}"/>
            </a:ext>
          </a:extLst>
        </xdr:cNvPr>
        <xdr:cNvSpPr txBox="1"/>
      </xdr:nvSpPr>
      <xdr:spPr>
        <a:xfrm>
          <a:off x="5015443" y="3585632"/>
          <a:ext cx="490008"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XOSC</a:t>
          </a:r>
        </a:p>
      </xdr:txBody>
    </xdr:sp>
    <xdr:clientData/>
  </xdr:twoCellAnchor>
  <xdr:oneCellAnchor>
    <xdr:from>
      <xdr:col>9</xdr:col>
      <xdr:colOff>100542</xdr:colOff>
      <xdr:row>20</xdr:row>
      <xdr:rowOff>194732</xdr:rowOff>
    </xdr:from>
    <xdr:ext cx="585257" cy="262467"/>
    <xdr:sp macro="" textlink="">
      <xdr:nvSpPr>
        <xdr:cNvPr id="325" name="TextBox 324">
          <a:extLst>
            <a:ext uri="{FF2B5EF4-FFF2-40B4-BE49-F238E27FC236}">
              <a16:creationId xmlns:a16="http://schemas.microsoft.com/office/drawing/2014/main" id="{00000000-0008-0000-0000-000045010000}"/>
            </a:ext>
          </a:extLst>
        </xdr:cNvPr>
        <xdr:cNvSpPr txBox="1"/>
      </xdr:nvSpPr>
      <xdr:spPr>
        <a:xfrm>
          <a:off x="5586942" y="3157007"/>
          <a:ext cx="585257"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IRCOSC</a:t>
          </a:r>
        </a:p>
      </xdr:txBody>
    </xdr:sp>
    <xdr:clientData/>
  </xdr:oneCellAnchor>
  <xdr:twoCellAnchor>
    <xdr:from>
      <xdr:col>9</xdr:col>
      <xdr:colOff>232058</xdr:colOff>
      <xdr:row>32</xdr:row>
      <xdr:rowOff>94363</xdr:rowOff>
    </xdr:from>
    <xdr:to>
      <xdr:col>9</xdr:col>
      <xdr:colOff>594355</xdr:colOff>
      <xdr:row>32</xdr:row>
      <xdr:rowOff>94363</xdr:rowOff>
    </xdr:to>
    <xdr:cxnSp macro="">
      <xdr:nvCxnSpPr>
        <xdr:cNvPr id="337" name="Straight Arrow Connector 336">
          <a:extLst>
            <a:ext uri="{FF2B5EF4-FFF2-40B4-BE49-F238E27FC236}">
              <a16:creationId xmlns:a16="http://schemas.microsoft.com/office/drawing/2014/main" id="{00000000-0008-0000-0000-000051010000}"/>
            </a:ext>
          </a:extLst>
        </xdr:cNvPr>
        <xdr:cNvCxnSpPr/>
      </xdr:nvCxnSpPr>
      <xdr:spPr>
        <a:xfrm>
          <a:off x="5718458" y="5428363"/>
          <a:ext cx="36229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222533</xdr:colOff>
      <xdr:row>31</xdr:row>
      <xdr:rowOff>847</xdr:rowOff>
    </xdr:from>
    <xdr:to>
      <xdr:col>9</xdr:col>
      <xdr:colOff>588293</xdr:colOff>
      <xdr:row>31</xdr:row>
      <xdr:rowOff>847</xdr:rowOff>
    </xdr:to>
    <xdr:cxnSp macro="">
      <xdr:nvCxnSpPr>
        <xdr:cNvPr id="338" name="Straight Arrow Connector 337">
          <a:extLst>
            <a:ext uri="{FF2B5EF4-FFF2-40B4-BE49-F238E27FC236}">
              <a16:creationId xmlns:a16="http://schemas.microsoft.com/office/drawing/2014/main" id="{00000000-0008-0000-0000-000052010000}"/>
            </a:ext>
          </a:extLst>
        </xdr:cNvPr>
        <xdr:cNvCxnSpPr/>
      </xdr:nvCxnSpPr>
      <xdr:spPr>
        <a:xfrm>
          <a:off x="5708933" y="5134822"/>
          <a:ext cx="36576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123051</xdr:colOff>
      <xdr:row>31</xdr:row>
      <xdr:rowOff>24993</xdr:rowOff>
    </xdr:from>
    <xdr:to>
      <xdr:col>10</xdr:col>
      <xdr:colOff>3459</xdr:colOff>
      <xdr:row>32</xdr:row>
      <xdr:rowOff>87435</xdr:rowOff>
    </xdr:to>
    <xdr:sp macro="" textlink="">
      <xdr:nvSpPr>
        <xdr:cNvPr id="339" name="TextBox 338">
          <a:extLst>
            <a:ext uri="{FF2B5EF4-FFF2-40B4-BE49-F238E27FC236}">
              <a16:creationId xmlns:a16="http://schemas.microsoft.com/office/drawing/2014/main" id="{00000000-0008-0000-0000-000053010000}"/>
            </a:ext>
          </a:extLst>
        </xdr:cNvPr>
        <xdr:cNvSpPr txBox="1"/>
      </xdr:nvSpPr>
      <xdr:spPr>
        <a:xfrm>
          <a:off x="5609451" y="5158968"/>
          <a:ext cx="490008"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XOSC</a:t>
          </a:r>
        </a:p>
      </xdr:txBody>
    </xdr:sp>
    <xdr:clientData/>
  </xdr:twoCellAnchor>
  <xdr:oneCellAnchor>
    <xdr:from>
      <xdr:col>9</xdr:col>
      <xdr:colOff>84950</xdr:colOff>
      <xdr:row>29</xdr:row>
      <xdr:rowOff>130635</xdr:rowOff>
    </xdr:from>
    <xdr:ext cx="585257" cy="262467"/>
    <xdr:sp macro="" textlink="">
      <xdr:nvSpPr>
        <xdr:cNvPr id="340" name="TextBox 339">
          <a:extLst>
            <a:ext uri="{FF2B5EF4-FFF2-40B4-BE49-F238E27FC236}">
              <a16:creationId xmlns:a16="http://schemas.microsoft.com/office/drawing/2014/main" id="{00000000-0008-0000-0000-000054010000}"/>
            </a:ext>
          </a:extLst>
        </xdr:cNvPr>
        <xdr:cNvSpPr txBox="1"/>
      </xdr:nvSpPr>
      <xdr:spPr>
        <a:xfrm>
          <a:off x="5571350" y="4883610"/>
          <a:ext cx="585257"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IRCOSC</a:t>
          </a:r>
        </a:p>
      </xdr:txBody>
    </xdr:sp>
    <xdr:clientData/>
  </xdr:oneCellAnchor>
  <xdr:twoCellAnchor>
    <xdr:from>
      <xdr:col>25</xdr:col>
      <xdr:colOff>280552</xdr:colOff>
      <xdr:row>41</xdr:row>
      <xdr:rowOff>77932</xdr:rowOff>
    </xdr:from>
    <xdr:to>
      <xdr:col>27</xdr:col>
      <xdr:colOff>85721</xdr:colOff>
      <xdr:row>43</xdr:row>
      <xdr:rowOff>182924</xdr:rowOff>
    </xdr:to>
    <xdr:cxnSp macro="">
      <xdr:nvCxnSpPr>
        <xdr:cNvPr id="355" name="Elbow Connector 354">
          <a:extLst>
            <a:ext uri="{FF2B5EF4-FFF2-40B4-BE49-F238E27FC236}">
              <a16:creationId xmlns:a16="http://schemas.microsoft.com/office/drawing/2014/main" id="{00000000-0008-0000-0000-000063010000}"/>
            </a:ext>
          </a:extLst>
        </xdr:cNvPr>
        <xdr:cNvCxnSpPr>
          <a:endCxn id="58" idx="1"/>
        </xdr:cNvCxnSpPr>
      </xdr:nvCxnSpPr>
      <xdr:spPr>
        <a:xfrm>
          <a:off x="15549860" y="8745682"/>
          <a:ext cx="1021438" cy="529954"/>
        </a:xfrm>
        <a:prstGeom prst="bentConnector3">
          <a:avLst>
            <a:gd name="adj1" fmla="val -213"/>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600045</xdr:colOff>
      <xdr:row>51</xdr:row>
      <xdr:rowOff>79369</xdr:rowOff>
    </xdr:from>
    <xdr:to>
      <xdr:col>6</xdr:col>
      <xdr:colOff>601816</xdr:colOff>
      <xdr:row>51</xdr:row>
      <xdr:rowOff>199053</xdr:rowOff>
    </xdr:to>
    <xdr:cxnSp macro="">
      <xdr:nvCxnSpPr>
        <xdr:cNvPr id="380" name="Straight Arrow Connector 379">
          <a:extLst>
            <a:ext uri="{FF2B5EF4-FFF2-40B4-BE49-F238E27FC236}">
              <a16:creationId xmlns:a16="http://schemas.microsoft.com/office/drawing/2014/main" id="{00000000-0008-0000-0000-00007C010000}"/>
            </a:ext>
          </a:extLst>
        </xdr:cNvPr>
        <xdr:cNvCxnSpPr/>
      </xdr:nvCxnSpPr>
      <xdr:spPr>
        <a:xfrm rot="10800000">
          <a:off x="3648045" y="10585444"/>
          <a:ext cx="611371" cy="119684"/>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248478</xdr:colOff>
      <xdr:row>51</xdr:row>
      <xdr:rowOff>32183</xdr:rowOff>
    </xdr:from>
    <xdr:to>
      <xdr:col>2</xdr:col>
      <xdr:colOff>574968</xdr:colOff>
      <xdr:row>51</xdr:row>
      <xdr:rowOff>32183</xdr:rowOff>
    </xdr:to>
    <xdr:cxnSp macro="">
      <xdr:nvCxnSpPr>
        <xdr:cNvPr id="384" name="Straight Arrow Connector 383">
          <a:extLst>
            <a:ext uri="{FF2B5EF4-FFF2-40B4-BE49-F238E27FC236}">
              <a16:creationId xmlns:a16="http://schemas.microsoft.com/office/drawing/2014/main" id="{00000000-0008-0000-0000-000080010000}"/>
            </a:ext>
          </a:extLst>
        </xdr:cNvPr>
        <xdr:cNvCxnSpPr/>
      </xdr:nvCxnSpPr>
      <xdr:spPr>
        <a:xfrm flipH="1">
          <a:off x="248478" y="10725031"/>
          <a:ext cx="1552316" cy="0"/>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447713</xdr:colOff>
      <xdr:row>48</xdr:row>
      <xdr:rowOff>157709</xdr:rowOff>
    </xdr:from>
    <xdr:ext cx="981941" cy="257176"/>
    <xdr:sp macro="" textlink="">
      <xdr:nvSpPr>
        <xdr:cNvPr id="385" name="TextBox 384">
          <a:extLst>
            <a:ext uri="{FF2B5EF4-FFF2-40B4-BE49-F238E27FC236}">
              <a16:creationId xmlns:a16="http://schemas.microsoft.com/office/drawing/2014/main" id="{00000000-0008-0000-0000-000081010000}"/>
            </a:ext>
          </a:extLst>
        </xdr:cNvPr>
        <xdr:cNvSpPr txBox="1"/>
      </xdr:nvSpPr>
      <xdr:spPr>
        <a:xfrm>
          <a:off x="447713" y="10270774"/>
          <a:ext cx="98194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CAN_PLL_CLK</a:t>
          </a:r>
        </a:p>
      </xdr:txBody>
    </xdr:sp>
    <xdr:clientData/>
  </xdr:oneCellAnchor>
  <xdr:twoCellAnchor>
    <xdr:from>
      <xdr:col>10</xdr:col>
      <xdr:colOff>603513</xdr:colOff>
      <xdr:row>52</xdr:row>
      <xdr:rowOff>79802</xdr:rowOff>
    </xdr:from>
    <xdr:to>
      <xdr:col>11</xdr:col>
      <xdr:colOff>602676</xdr:colOff>
      <xdr:row>54</xdr:row>
      <xdr:rowOff>2492</xdr:rowOff>
    </xdr:to>
    <xdr:cxnSp macro="">
      <xdr:nvCxnSpPr>
        <xdr:cNvPr id="393" name="Straight Arrow Connector 392">
          <a:extLst>
            <a:ext uri="{FF2B5EF4-FFF2-40B4-BE49-F238E27FC236}">
              <a16:creationId xmlns:a16="http://schemas.microsoft.com/office/drawing/2014/main" id="{00000000-0008-0000-0000-000089010000}"/>
            </a:ext>
          </a:extLst>
        </xdr:cNvPr>
        <xdr:cNvCxnSpPr/>
      </xdr:nvCxnSpPr>
      <xdr:spPr>
        <a:xfrm flipV="1">
          <a:off x="6699513" y="10785902"/>
          <a:ext cx="608763" cy="341790"/>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603513</xdr:colOff>
      <xdr:row>54</xdr:row>
      <xdr:rowOff>2492</xdr:rowOff>
    </xdr:from>
    <xdr:to>
      <xdr:col>11</xdr:col>
      <xdr:colOff>602676</xdr:colOff>
      <xdr:row>55</xdr:row>
      <xdr:rowOff>100584</xdr:rowOff>
    </xdr:to>
    <xdr:cxnSp macro="">
      <xdr:nvCxnSpPr>
        <xdr:cNvPr id="396" name="Straight Arrow Connector 395">
          <a:extLst>
            <a:ext uri="{FF2B5EF4-FFF2-40B4-BE49-F238E27FC236}">
              <a16:creationId xmlns:a16="http://schemas.microsoft.com/office/drawing/2014/main" id="{00000000-0008-0000-0000-00008C010000}"/>
            </a:ext>
          </a:extLst>
        </xdr:cNvPr>
        <xdr:cNvCxnSpPr/>
      </xdr:nvCxnSpPr>
      <xdr:spPr>
        <a:xfrm>
          <a:off x="6699513" y="11127692"/>
          <a:ext cx="608763" cy="307642"/>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292028</xdr:colOff>
      <xdr:row>51</xdr:row>
      <xdr:rowOff>38966</xdr:rowOff>
    </xdr:from>
    <xdr:ext cx="183355" cy="219076"/>
    <xdr:sp macro="" textlink="">
      <xdr:nvSpPr>
        <xdr:cNvPr id="397" name="TextBox 396">
          <a:extLst>
            <a:ext uri="{FF2B5EF4-FFF2-40B4-BE49-F238E27FC236}">
              <a16:creationId xmlns:a16="http://schemas.microsoft.com/office/drawing/2014/main" id="{00000000-0008-0000-0000-00008D010000}"/>
            </a:ext>
          </a:extLst>
        </xdr:cNvPr>
        <xdr:cNvSpPr txBox="1"/>
      </xdr:nvSpPr>
      <xdr:spPr>
        <a:xfrm>
          <a:off x="6959528" y="9061739"/>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0</a:t>
          </a:r>
          <a:endParaRPr lang="en-US" sz="800"/>
        </a:p>
      </xdr:txBody>
    </xdr:sp>
    <xdr:clientData/>
  </xdr:oneCellAnchor>
  <xdr:oneCellAnchor>
    <xdr:from>
      <xdr:col>11</xdr:col>
      <xdr:colOff>305882</xdr:colOff>
      <xdr:row>54</xdr:row>
      <xdr:rowOff>61480</xdr:rowOff>
    </xdr:from>
    <xdr:ext cx="183355" cy="219076"/>
    <xdr:sp macro="" textlink="">
      <xdr:nvSpPr>
        <xdr:cNvPr id="398" name="TextBox 397">
          <a:extLst>
            <a:ext uri="{FF2B5EF4-FFF2-40B4-BE49-F238E27FC236}">
              <a16:creationId xmlns:a16="http://schemas.microsoft.com/office/drawing/2014/main" id="{00000000-0008-0000-0000-00008E010000}"/>
            </a:ext>
          </a:extLst>
        </xdr:cNvPr>
        <xdr:cNvSpPr txBox="1"/>
      </xdr:nvSpPr>
      <xdr:spPr>
        <a:xfrm>
          <a:off x="6973382" y="9681730"/>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1</a:t>
          </a:r>
          <a:endParaRPr lang="en-US" sz="800"/>
        </a:p>
      </xdr:txBody>
    </xdr:sp>
    <xdr:clientData/>
  </xdr:oneCellAnchor>
  <xdr:twoCellAnchor>
    <xdr:from>
      <xdr:col>23</xdr:col>
      <xdr:colOff>580256</xdr:colOff>
      <xdr:row>55</xdr:row>
      <xdr:rowOff>100584</xdr:rowOff>
    </xdr:from>
    <xdr:to>
      <xdr:col>26</xdr:col>
      <xdr:colOff>2193</xdr:colOff>
      <xdr:row>57</xdr:row>
      <xdr:rowOff>110111</xdr:rowOff>
    </xdr:to>
    <xdr:cxnSp macro="">
      <xdr:nvCxnSpPr>
        <xdr:cNvPr id="400" name="Straight Arrow Connector 399">
          <a:extLst>
            <a:ext uri="{FF2B5EF4-FFF2-40B4-BE49-F238E27FC236}">
              <a16:creationId xmlns:a16="http://schemas.microsoft.com/office/drawing/2014/main" id="{00000000-0008-0000-0000-000090010000}"/>
            </a:ext>
          </a:extLst>
        </xdr:cNvPr>
        <xdr:cNvCxnSpPr>
          <a:endCxn id="31" idx="1"/>
        </xdr:cNvCxnSpPr>
      </xdr:nvCxnSpPr>
      <xdr:spPr>
        <a:xfrm>
          <a:off x="14655275" y="11691776"/>
          <a:ext cx="1224360" cy="434489"/>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29308</xdr:colOff>
      <xdr:row>55</xdr:row>
      <xdr:rowOff>103909</xdr:rowOff>
    </xdr:from>
    <xdr:to>
      <xdr:col>25</xdr:col>
      <xdr:colOff>542192</xdr:colOff>
      <xdr:row>55</xdr:row>
      <xdr:rowOff>103909</xdr:rowOff>
    </xdr:to>
    <xdr:cxnSp macro="">
      <xdr:nvCxnSpPr>
        <xdr:cNvPr id="402" name="Straight Arrow Connector 401">
          <a:extLst>
            <a:ext uri="{FF2B5EF4-FFF2-40B4-BE49-F238E27FC236}">
              <a16:creationId xmlns:a16="http://schemas.microsoft.com/office/drawing/2014/main" id="{00000000-0008-0000-0000-000092010000}"/>
            </a:ext>
          </a:extLst>
        </xdr:cNvPr>
        <xdr:cNvCxnSpPr/>
      </xdr:nvCxnSpPr>
      <xdr:spPr>
        <a:xfrm>
          <a:off x="10367596" y="11695101"/>
          <a:ext cx="5443904"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279857</xdr:colOff>
      <xdr:row>51</xdr:row>
      <xdr:rowOff>62561</xdr:rowOff>
    </xdr:from>
    <xdr:to>
      <xdr:col>23</xdr:col>
      <xdr:colOff>595345</xdr:colOff>
      <xdr:row>52</xdr:row>
      <xdr:rowOff>28513</xdr:rowOff>
    </xdr:to>
    <xdr:cxnSp macro="">
      <xdr:nvCxnSpPr>
        <xdr:cNvPr id="404" name="Straight Arrow Connector 403">
          <a:extLst>
            <a:ext uri="{FF2B5EF4-FFF2-40B4-BE49-F238E27FC236}">
              <a16:creationId xmlns:a16="http://schemas.microsoft.com/office/drawing/2014/main" id="{00000000-0008-0000-0000-000094010000}"/>
            </a:ext>
          </a:extLst>
        </xdr:cNvPr>
        <xdr:cNvCxnSpPr/>
      </xdr:nvCxnSpPr>
      <xdr:spPr>
        <a:xfrm flipV="1">
          <a:off x="14354876" y="10803830"/>
          <a:ext cx="315488" cy="178433"/>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21381</xdr:colOff>
      <xdr:row>48</xdr:row>
      <xdr:rowOff>18732</xdr:rowOff>
    </xdr:from>
    <xdr:to>
      <xdr:col>23</xdr:col>
      <xdr:colOff>601805</xdr:colOff>
      <xdr:row>49</xdr:row>
      <xdr:rowOff>79312</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4204106" y="9658032"/>
          <a:ext cx="580424" cy="241555"/>
          <a:chOff x="11949612" y="10400983"/>
          <a:chExt cx="580424" cy="251080"/>
        </a:xfrm>
      </xdr:grpSpPr>
      <xdr:cxnSp macro="">
        <xdr:nvCxnSpPr>
          <xdr:cNvPr id="405" name="Straight Arrow Connector 404">
            <a:extLst>
              <a:ext uri="{FF2B5EF4-FFF2-40B4-BE49-F238E27FC236}">
                <a16:creationId xmlns:a16="http://schemas.microsoft.com/office/drawing/2014/main" id="{00000000-0008-0000-0000-000095010000}"/>
              </a:ext>
            </a:extLst>
          </xdr:cNvPr>
          <xdr:cNvCxnSpPr/>
        </xdr:nvCxnSpPr>
        <xdr:spPr>
          <a:xfrm>
            <a:off x="12148771" y="10650548"/>
            <a:ext cx="381265" cy="1515"/>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sp macro="" textlink="">
        <xdr:nvSpPr>
          <xdr:cNvPr id="406" name="TextBox 405">
            <a:extLst>
              <a:ext uri="{FF2B5EF4-FFF2-40B4-BE49-F238E27FC236}">
                <a16:creationId xmlns:a16="http://schemas.microsoft.com/office/drawing/2014/main" id="{00000000-0008-0000-0000-000096010000}"/>
              </a:ext>
            </a:extLst>
          </xdr:cNvPr>
          <xdr:cNvSpPr txBox="1"/>
        </xdr:nvSpPr>
        <xdr:spPr>
          <a:xfrm>
            <a:off x="11949612" y="10400983"/>
            <a:ext cx="489670" cy="2335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r"/>
            <a:r>
              <a:rPr lang="en-US" sz="1000" b="1"/>
              <a:t>XOSC</a:t>
            </a:r>
          </a:p>
        </xdr:txBody>
      </xdr:sp>
    </xdr:grpSp>
    <xdr:clientData/>
  </xdr:twoCellAnchor>
  <xdr:twoCellAnchor>
    <xdr:from>
      <xdr:col>25</xdr:col>
      <xdr:colOff>13885</xdr:colOff>
      <xdr:row>50</xdr:row>
      <xdr:rowOff>105858</xdr:rowOff>
    </xdr:from>
    <xdr:to>
      <xdr:col>26</xdr:col>
      <xdr:colOff>0</xdr:colOff>
      <xdr:row>50</xdr:row>
      <xdr:rowOff>105858</xdr:rowOff>
    </xdr:to>
    <xdr:cxnSp macro="">
      <xdr:nvCxnSpPr>
        <xdr:cNvPr id="408" name="Straight Arrow Connector 407">
          <a:extLst>
            <a:ext uri="{FF2B5EF4-FFF2-40B4-BE49-F238E27FC236}">
              <a16:creationId xmlns:a16="http://schemas.microsoft.com/office/drawing/2014/main" id="{00000000-0008-0000-0000-000098010000}"/>
            </a:ext>
          </a:extLst>
        </xdr:cNvPr>
        <xdr:cNvCxnSpPr/>
      </xdr:nvCxnSpPr>
      <xdr:spPr>
        <a:xfrm>
          <a:off x="15283193" y="10634646"/>
          <a:ext cx="594249"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867</xdr:colOff>
      <xdr:row>68</xdr:row>
      <xdr:rowOff>8659</xdr:rowOff>
    </xdr:from>
    <xdr:ext cx="1152526" cy="848591"/>
    <xdr:sp macro="" textlink="">
      <xdr:nvSpPr>
        <xdr:cNvPr id="410" name="TextBox 409">
          <a:extLst>
            <a:ext uri="{FF2B5EF4-FFF2-40B4-BE49-F238E27FC236}">
              <a16:creationId xmlns:a16="http://schemas.microsoft.com/office/drawing/2014/main" id="{00000000-0008-0000-0000-00009A010000}"/>
            </a:ext>
          </a:extLst>
        </xdr:cNvPr>
        <xdr:cNvSpPr txBox="1"/>
      </xdr:nvSpPr>
      <xdr:spPr>
        <a:xfrm>
          <a:off x="6668367" y="12356523"/>
          <a:ext cx="1152526" cy="848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a:p>
          <a:r>
            <a:rPr lang="en-US" sz="800"/>
            <a:t>2 - PLL0</a:t>
          </a:r>
          <a:r>
            <a:rPr lang="en-US" sz="800" baseline="0"/>
            <a:t>_PHI</a:t>
          </a:r>
        </a:p>
        <a:p>
          <a:r>
            <a:rPr lang="en-US" sz="800" baseline="0"/>
            <a:t>3 - PLL0_PHI1</a:t>
          </a:r>
          <a:br>
            <a:rPr lang="en-US" sz="800"/>
          </a:br>
          <a:r>
            <a:rPr lang="en-US" sz="800"/>
            <a:t>4 - PLL1_PHI</a:t>
          </a:r>
        </a:p>
        <a:p>
          <a:r>
            <a:rPr lang="en-US" sz="800"/>
            <a:t>5</a:t>
          </a:r>
          <a:r>
            <a:rPr lang="en-US" sz="800" baseline="0"/>
            <a:t> - RMII_CLOCK</a:t>
          </a:r>
          <a:endParaRPr lang="en-US" sz="800"/>
        </a:p>
      </xdr:txBody>
    </xdr:sp>
    <xdr:clientData/>
  </xdr:oneCellAnchor>
  <xdr:oneCellAnchor>
    <xdr:from>
      <xdr:col>26</xdr:col>
      <xdr:colOff>565904</xdr:colOff>
      <xdr:row>63</xdr:row>
      <xdr:rowOff>176646</xdr:rowOff>
    </xdr:from>
    <xdr:ext cx="942975" cy="257176"/>
    <xdr:sp macro="" textlink="">
      <xdr:nvSpPr>
        <xdr:cNvPr id="411" name="TextBox 410">
          <a:extLst>
            <a:ext uri="{FF2B5EF4-FFF2-40B4-BE49-F238E27FC236}">
              <a16:creationId xmlns:a16="http://schemas.microsoft.com/office/drawing/2014/main" id="{00000000-0008-0000-0000-00009B010000}"/>
            </a:ext>
          </a:extLst>
        </xdr:cNvPr>
        <xdr:cNvSpPr txBox="1"/>
      </xdr:nvSpPr>
      <xdr:spPr>
        <a:xfrm>
          <a:off x="16443346" y="13372434"/>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ENET_CLK</a:t>
          </a:r>
        </a:p>
      </xdr:txBody>
    </xdr:sp>
    <xdr:clientData/>
  </xdr:oneCellAnchor>
  <xdr:twoCellAnchor>
    <xdr:from>
      <xdr:col>10</xdr:col>
      <xdr:colOff>594275</xdr:colOff>
      <xdr:row>64</xdr:row>
      <xdr:rowOff>86248</xdr:rowOff>
    </xdr:from>
    <xdr:to>
      <xdr:col>11</xdr:col>
      <xdr:colOff>597479</xdr:colOff>
      <xdr:row>64</xdr:row>
      <xdr:rowOff>182120</xdr:rowOff>
    </xdr:to>
    <xdr:cxnSp macro="">
      <xdr:nvCxnSpPr>
        <xdr:cNvPr id="413" name="Straight Arrow Connector 412">
          <a:extLst>
            <a:ext uri="{FF2B5EF4-FFF2-40B4-BE49-F238E27FC236}">
              <a16:creationId xmlns:a16="http://schemas.microsoft.com/office/drawing/2014/main" id="{00000000-0008-0000-0000-00009D010000}"/>
            </a:ext>
          </a:extLst>
        </xdr:cNvPr>
        <xdr:cNvCxnSpPr/>
      </xdr:nvCxnSpPr>
      <xdr:spPr>
        <a:xfrm flipV="1">
          <a:off x="6690275" y="13192648"/>
          <a:ext cx="612804" cy="95872"/>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13565</xdr:colOff>
      <xdr:row>64</xdr:row>
      <xdr:rowOff>86248</xdr:rowOff>
    </xdr:from>
    <xdr:to>
      <xdr:col>25</xdr:col>
      <xdr:colOff>578827</xdr:colOff>
      <xdr:row>64</xdr:row>
      <xdr:rowOff>86248</xdr:rowOff>
    </xdr:to>
    <xdr:cxnSp macro="">
      <xdr:nvCxnSpPr>
        <xdr:cNvPr id="415" name="Straight Arrow Connector 414">
          <a:extLst>
            <a:ext uri="{FF2B5EF4-FFF2-40B4-BE49-F238E27FC236}">
              <a16:creationId xmlns:a16="http://schemas.microsoft.com/office/drawing/2014/main" id="{00000000-0008-0000-0000-00009F010000}"/>
            </a:ext>
          </a:extLst>
        </xdr:cNvPr>
        <xdr:cNvCxnSpPr/>
      </xdr:nvCxnSpPr>
      <xdr:spPr>
        <a:xfrm>
          <a:off x="10351853" y="13479863"/>
          <a:ext cx="5496282"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228596</xdr:colOff>
      <xdr:row>63</xdr:row>
      <xdr:rowOff>115087</xdr:rowOff>
    </xdr:from>
    <xdr:to>
      <xdr:col>9</xdr:col>
      <xdr:colOff>590893</xdr:colOff>
      <xdr:row>63</xdr:row>
      <xdr:rowOff>115087</xdr:rowOff>
    </xdr:to>
    <xdr:cxnSp macro="">
      <xdr:nvCxnSpPr>
        <xdr:cNvPr id="416" name="Straight Arrow Connector 415">
          <a:extLst>
            <a:ext uri="{FF2B5EF4-FFF2-40B4-BE49-F238E27FC236}">
              <a16:creationId xmlns:a16="http://schemas.microsoft.com/office/drawing/2014/main" id="{00000000-0008-0000-0000-0000A0010000}"/>
            </a:ext>
          </a:extLst>
        </xdr:cNvPr>
        <xdr:cNvCxnSpPr/>
      </xdr:nvCxnSpPr>
      <xdr:spPr>
        <a:xfrm>
          <a:off x="5683823" y="11475814"/>
          <a:ext cx="36229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227730</xdr:colOff>
      <xdr:row>62</xdr:row>
      <xdr:rowOff>114228</xdr:rowOff>
    </xdr:from>
    <xdr:to>
      <xdr:col>9</xdr:col>
      <xdr:colOff>593490</xdr:colOff>
      <xdr:row>62</xdr:row>
      <xdr:rowOff>114228</xdr:rowOff>
    </xdr:to>
    <xdr:cxnSp macro="">
      <xdr:nvCxnSpPr>
        <xdr:cNvPr id="417" name="Straight Arrow Connector 416">
          <a:extLst>
            <a:ext uri="{FF2B5EF4-FFF2-40B4-BE49-F238E27FC236}">
              <a16:creationId xmlns:a16="http://schemas.microsoft.com/office/drawing/2014/main" id="{00000000-0008-0000-0000-0000A1010000}"/>
            </a:ext>
          </a:extLst>
        </xdr:cNvPr>
        <xdr:cNvCxnSpPr/>
      </xdr:nvCxnSpPr>
      <xdr:spPr>
        <a:xfrm>
          <a:off x="5682957" y="11284455"/>
          <a:ext cx="36576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58976</xdr:colOff>
      <xdr:row>62</xdr:row>
      <xdr:rowOff>101137</xdr:rowOff>
    </xdr:from>
    <xdr:to>
      <xdr:col>9</xdr:col>
      <xdr:colOff>545521</xdr:colOff>
      <xdr:row>63</xdr:row>
      <xdr:rowOff>172238</xdr:rowOff>
    </xdr:to>
    <xdr:sp macro="" textlink="">
      <xdr:nvSpPr>
        <xdr:cNvPr id="418" name="TextBox 417">
          <a:extLst>
            <a:ext uri="{FF2B5EF4-FFF2-40B4-BE49-F238E27FC236}">
              <a16:creationId xmlns:a16="http://schemas.microsoft.com/office/drawing/2014/main" id="{00000000-0008-0000-0000-0000A2010000}"/>
            </a:ext>
          </a:extLst>
        </xdr:cNvPr>
        <xdr:cNvSpPr txBox="1"/>
      </xdr:nvSpPr>
      <xdr:spPr>
        <a:xfrm>
          <a:off x="5514203" y="11271364"/>
          <a:ext cx="486545" cy="261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XOSC</a:t>
          </a:r>
        </a:p>
      </xdr:txBody>
    </xdr:sp>
    <xdr:clientData/>
  </xdr:twoCellAnchor>
  <xdr:oneCellAnchor>
    <xdr:from>
      <xdr:col>8</xdr:col>
      <xdr:colOff>592374</xdr:colOff>
      <xdr:row>61</xdr:row>
      <xdr:rowOff>96810</xdr:rowOff>
    </xdr:from>
    <xdr:ext cx="585257" cy="262467"/>
    <xdr:sp macro="" textlink="">
      <xdr:nvSpPr>
        <xdr:cNvPr id="419" name="TextBox 418">
          <a:extLst>
            <a:ext uri="{FF2B5EF4-FFF2-40B4-BE49-F238E27FC236}">
              <a16:creationId xmlns:a16="http://schemas.microsoft.com/office/drawing/2014/main" id="{00000000-0008-0000-0000-0000A3010000}"/>
            </a:ext>
          </a:extLst>
        </xdr:cNvPr>
        <xdr:cNvSpPr txBox="1"/>
      </xdr:nvSpPr>
      <xdr:spPr>
        <a:xfrm>
          <a:off x="5441465" y="11076537"/>
          <a:ext cx="585257"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IRCOSC</a:t>
          </a:r>
        </a:p>
      </xdr:txBody>
    </xdr:sp>
    <xdr:clientData/>
  </xdr:oneCellAnchor>
  <xdr:twoCellAnchor>
    <xdr:from>
      <xdr:col>8</xdr:col>
      <xdr:colOff>585355</xdr:colOff>
      <xdr:row>64</xdr:row>
      <xdr:rowOff>65810</xdr:rowOff>
    </xdr:from>
    <xdr:to>
      <xdr:col>9</xdr:col>
      <xdr:colOff>602683</xdr:colOff>
      <xdr:row>64</xdr:row>
      <xdr:rowOff>68302</xdr:rowOff>
    </xdr:to>
    <xdr:cxnSp macro="">
      <xdr:nvCxnSpPr>
        <xdr:cNvPr id="420" name="Straight Arrow Connector 419">
          <a:extLst>
            <a:ext uri="{FF2B5EF4-FFF2-40B4-BE49-F238E27FC236}">
              <a16:creationId xmlns:a16="http://schemas.microsoft.com/office/drawing/2014/main" id="{00000000-0008-0000-0000-0000A4010000}"/>
            </a:ext>
          </a:extLst>
        </xdr:cNvPr>
        <xdr:cNvCxnSpPr/>
      </xdr:nvCxnSpPr>
      <xdr:spPr>
        <a:xfrm>
          <a:off x="5434446" y="11625696"/>
          <a:ext cx="623464" cy="2492"/>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407843</xdr:colOff>
      <xdr:row>33</xdr:row>
      <xdr:rowOff>0</xdr:rowOff>
    </xdr:from>
    <xdr:to>
      <xdr:col>8</xdr:col>
      <xdr:colOff>459798</xdr:colOff>
      <xdr:row>80</xdr:row>
      <xdr:rowOff>8659</xdr:rowOff>
    </xdr:to>
    <xdr:cxnSp macro="">
      <xdr:nvCxnSpPr>
        <xdr:cNvPr id="425" name="Straight Connector 424">
          <a:extLst>
            <a:ext uri="{FF2B5EF4-FFF2-40B4-BE49-F238E27FC236}">
              <a16:creationId xmlns:a16="http://schemas.microsoft.com/office/drawing/2014/main" id="{00000000-0008-0000-0000-0000A9010000}"/>
            </a:ext>
          </a:extLst>
        </xdr:cNvPr>
        <xdr:cNvCxnSpPr/>
      </xdr:nvCxnSpPr>
      <xdr:spPr>
        <a:xfrm>
          <a:off x="5284643" y="5534025"/>
          <a:ext cx="51955" cy="9181234"/>
        </a:xfrm>
        <a:prstGeom prst="line">
          <a:avLst/>
        </a:prstGeom>
        <a:ln w="19050">
          <a:solidFill>
            <a:schemeClr val="accent6">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424295</xdr:colOff>
      <xdr:row>66</xdr:row>
      <xdr:rowOff>8659</xdr:rowOff>
    </xdr:from>
    <xdr:to>
      <xdr:col>10</xdr:col>
      <xdr:colOff>1743</xdr:colOff>
      <xdr:row>66</xdr:row>
      <xdr:rowOff>12881</xdr:rowOff>
    </xdr:to>
    <xdr:cxnSp macro="">
      <xdr:nvCxnSpPr>
        <xdr:cNvPr id="426" name="Straight Arrow Connector 425">
          <a:extLst>
            <a:ext uri="{FF2B5EF4-FFF2-40B4-BE49-F238E27FC236}">
              <a16:creationId xmlns:a16="http://schemas.microsoft.com/office/drawing/2014/main" id="{00000000-0008-0000-0000-0000AA010000}"/>
            </a:ext>
          </a:extLst>
        </xdr:cNvPr>
        <xdr:cNvCxnSpPr/>
      </xdr:nvCxnSpPr>
      <xdr:spPr>
        <a:xfrm>
          <a:off x="5273386" y="11966864"/>
          <a:ext cx="789721" cy="4222"/>
        </a:xfrm>
        <a:prstGeom prst="straightConnector1">
          <a:avLst/>
        </a:prstGeom>
        <a:ln w="19050">
          <a:solidFill>
            <a:schemeClr val="accent6">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196216</xdr:colOff>
      <xdr:row>19</xdr:row>
      <xdr:rowOff>22860</xdr:rowOff>
    </xdr:from>
    <xdr:to>
      <xdr:col>9</xdr:col>
      <xdr:colOff>596908</xdr:colOff>
      <xdr:row>64</xdr:row>
      <xdr:rowOff>182120</xdr:rowOff>
    </xdr:to>
    <xdr:cxnSp macro="">
      <xdr:nvCxnSpPr>
        <xdr:cNvPr id="428" name="Elbow Connector 427">
          <a:extLst>
            <a:ext uri="{FF2B5EF4-FFF2-40B4-BE49-F238E27FC236}">
              <a16:creationId xmlns:a16="http://schemas.microsoft.com/office/drawing/2014/main" id="{00000000-0008-0000-0000-0000AC010000}"/>
            </a:ext>
          </a:extLst>
        </xdr:cNvPr>
        <xdr:cNvCxnSpPr>
          <a:stCxn id="8" idx="3"/>
          <a:endCxn id="113" idx="0"/>
        </xdr:cNvCxnSpPr>
      </xdr:nvCxnSpPr>
      <xdr:spPr>
        <a:xfrm>
          <a:off x="4439171" y="2776451"/>
          <a:ext cx="1612964" cy="8965555"/>
        </a:xfrm>
        <a:prstGeom prst="bentConnector3">
          <a:avLst>
            <a:gd name="adj1" fmla="val 41947"/>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124041</xdr:colOff>
      <xdr:row>66</xdr:row>
      <xdr:rowOff>89838</xdr:rowOff>
    </xdr:from>
    <xdr:ext cx="1066799" cy="427110"/>
    <xdr:sp macro="" textlink="">
      <xdr:nvSpPr>
        <xdr:cNvPr id="431" name="TextBox 430">
          <a:extLst>
            <a:ext uri="{FF2B5EF4-FFF2-40B4-BE49-F238E27FC236}">
              <a16:creationId xmlns:a16="http://schemas.microsoft.com/office/drawing/2014/main" id="{00000000-0008-0000-0000-0000AF010000}"/>
            </a:ext>
          </a:extLst>
        </xdr:cNvPr>
        <xdr:cNvSpPr txBox="1"/>
      </xdr:nvSpPr>
      <xdr:spPr>
        <a:xfrm>
          <a:off x="2562441" y="12091338"/>
          <a:ext cx="1066799" cy="42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RMII_CLK</a:t>
          </a:r>
        </a:p>
        <a:p>
          <a:pPr algn="ctr"/>
          <a:r>
            <a:rPr lang="en-US" sz="1000" b="1"/>
            <a:t>(ext sig name)</a:t>
          </a:r>
        </a:p>
      </xdr:txBody>
    </xdr:sp>
    <xdr:clientData/>
  </xdr:oneCellAnchor>
  <xdr:twoCellAnchor>
    <xdr:from>
      <xdr:col>7</xdr:col>
      <xdr:colOff>57150</xdr:colOff>
      <xdr:row>67</xdr:row>
      <xdr:rowOff>89189</xdr:rowOff>
    </xdr:from>
    <xdr:to>
      <xdr:col>9</xdr:col>
      <xdr:colOff>602673</xdr:colOff>
      <xdr:row>67</xdr:row>
      <xdr:rowOff>95250</xdr:rowOff>
    </xdr:to>
    <xdr:cxnSp macro="">
      <xdr:nvCxnSpPr>
        <xdr:cNvPr id="432" name="Straight Arrow Connector 431">
          <a:extLst>
            <a:ext uri="{FF2B5EF4-FFF2-40B4-BE49-F238E27FC236}">
              <a16:creationId xmlns:a16="http://schemas.microsoft.com/office/drawing/2014/main" id="{00000000-0008-0000-0000-0000B0010000}"/>
            </a:ext>
          </a:extLst>
        </xdr:cNvPr>
        <xdr:cNvCxnSpPr/>
      </xdr:nvCxnSpPr>
      <xdr:spPr>
        <a:xfrm flipV="1">
          <a:off x="4324350" y="12290714"/>
          <a:ext cx="1764723" cy="6061"/>
        </a:xfrm>
        <a:prstGeom prst="straightConnector1">
          <a:avLst/>
        </a:prstGeom>
        <a:ln w="19050">
          <a:solidFill>
            <a:schemeClr val="accent5">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596908</xdr:colOff>
      <xdr:row>75</xdr:row>
      <xdr:rowOff>168161</xdr:rowOff>
    </xdr:from>
    <xdr:to>
      <xdr:col>10</xdr:col>
      <xdr:colOff>594275</xdr:colOff>
      <xdr:row>81</xdr:row>
      <xdr:rowOff>187418</xdr:rowOff>
    </xdr:to>
    <xdr:sp macro="" textlink="">
      <xdr:nvSpPr>
        <xdr:cNvPr id="464" name="Rectangle 463">
          <a:extLst>
            <a:ext uri="{FF2B5EF4-FFF2-40B4-BE49-F238E27FC236}">
              <a16:creationId xmlns:a16="http://schemas.microsoft.com/office/drawing/2014/main" id="{00000000-0008-0000-0000-0000D0010000}"/>
            </a:ext>
          </a:extLst>
        </xdr:cNvPr>
        <xdr:cNvSpPr/>
      </xdr:nvSpPr>
      <xdr:spPr>
        <a:xfrm rot="16200000">
          <a:off x="5759769" y="11440254"/>
          <a:ext cx="1188235" cy="6035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latin typeface="+mn-lt"/>
              <a:ea typeface="+mn-ea"/>
              <a:cs typeface="+mn-cs"/>
            </a:rPr>
            <a:t>AUX Clock Selector  11</a:t>
          </a:r>
          <a:endParaRPr lang="en-US" sz="1100">
            <a:solidFill>
              <a:schemeClr val="lt1"/>
            </a:solidFill>
            <a:latin typeface="+mn-lt"/>
            <a:ea typeface="+mn-ea"/>
            <a:cs typeface="+mn-cs"/>
          </a:endParaRPr>
        </a:p>
      </xdr:txBody>
    </xdr:sp>
    <xdr:clientData/>
  </xdr:twoCellAnchor>
  <xdr:oneCellAnchor>
    <xdr:from>
      <xdr:col>11</xdr:col>
      <xdr:colOff>867</xdr:colOff>
      <xdr:row>82</xdr:row>
      <xdr:rowOff>8659</xdr:rowOff>
    </xdr:from>
    <xdr:ext cx="1152526" cy="848591"/>
    <xdr:sp macro="" textlink="">
      <xdr:nvSpPr>
        <xdr:cNvPr id="466" name="TextBox 465">
          <a:extLst>
            <a:ext uri="{FF2B5EF4-FFF2-40B4-BE49-F238E27FC236}">
              <a16:creationId xmlns:a16="http://schemas.microsoft.com/office/drawing/2014/main" id="{00000000-0008-0000-0000-0000D2010000}"/>
            </a:ext>
          </a:extLst>
        </xdr:cNvPr>
        <xdr:cNvSpPr txBox="1"/>
      </xdr:nvSpPr>
      <xdr:spPr>
        <a:xfrm>
          <a:off x="6668367" y="12356523"/>
          <a:ext cx="1152526" cy="848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p>
        <a:p>
          <a:r>
            <a:rPr lang="en-US" sz="800"/>
            <a:t>1 - XOSC</a:t>
          </a:r>
        </a:p>
        <a:p>
          <a:r>
            <a:rPr lang="en-US" sz="800"/>
            <a:t>2 - PLL0</a:t>
          </a:r>
          <a:r>
            <a:rPr lang="en-US" sz="800" baseline="0"/>
            <a:t>_PHI</a:t>
          </a:r>
        </a:p>
        <a:p>
          <a:r>
            <a:rPr lang="en-US" sz="800" baseline="0"/>
            <a:t>3 - PLL0_PHI1</a:t>
          </a:r>
          <a:br>
            <a:rPr lang="en-US" sz="800"/>
          </a:br>
          <a:r>
            <a:rPr lang="en-US" sz="800"/>
            <a:t>4 - PLL1_PHI</a:t>
          </a:r>
        </a:p>
        <a:p>
          <a:r>
            <a:rPr lang="en-US" sz="800"/>
            <a:t>5</a:t>
          </a:r>
          <a:r>
            <a:rPr lang="en-US" sz="800" baseline="0"/>
            <a:t> - RMII_CLOCK</a:t>
          </a:r>
          <a:endParaRPr lang="en-US" sz="800"/>
        </a:p>
      </xdr:txBody>
    </xdr:sp>
    <xdr:clientData/>
  </xdr:oneCellAnchor>
  <xdr:oneCellAnchor>
    <xdr:from>
      <xdr:col>26</xdr:col>
      <xdr:colOff>560775</xdr:colOff>
      <xdr:row>77</xdr:row>
      <xdr:rowOff>176646</xdr:rowOff>
    </xdr:from>
    <xdr:ext cx="1375930" cy="257176"/>
    <xdr:sp macro="" textlink="">
      <xdr:nvSpPr>
        <xdr:cNvPr id="467" name="TextBox 466">
          <a:extLst>
            <a:ext uri="{FF2B5EF4-FFF2-40B4-BE49-F238E27FC236}">
              <a16:creationId xmlns:a16="http://schemas.microsoft.com/office/drawing/2014/main" id="{00000000-0008-0000-0000-0000D3010000}"/>
            </a:ext>
          </a:extLst>
        </xdr:cNvPr>
        <xdr:cNvSpPr txBox="1"/>
      </xdr:nvSpPr>
      <xdr:spPr>
        <a:xfrm>
          <a:off x="16438217" y="16163992"/>
          <a:ext cx="1375930"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ENET_TIME_CLK</a:t>
          </a:r>
        </a:p>
      </xdr:txBody>
    </xdr:sp>
    <xdr:clientData/>
  </xdr:oneCellAnchor>
  <xdr:twoCellAnchor>
    <xdr:from>
      <xdr:col>10</xdr:col>
      <xdr:colOff>594275</xdr:colOff>
      <xdr:row>78</xdr:row>
      <xdr:rowOff>85815</xdr:rowOff>
    </xdr:from>
    <xdr:to>
      <xdr:col>11</xdr:col>
      <xdr:colOff>607004</xdr:colOff>
      <xdr:row>78</xdr:row>
      <xdr:rowOff>187314</xdr:rowOff>
    </xdr:to>
    <xdr:cxnSp macro="">
      <xdr:nvCxnSpPr>
        <xdr:cNvPr id="468" name="Straight Arrow Connector 412">
          <a:extLst>
            <a:ext uri="{FF2B5EF4-FFF2-40B4-BE49-F238E27FC236}">
              <a16:creationId xmlns:a16="http://schemas.microsoft.com/office/drawing/2014/main" id="{00000000-0008-0000-0000-0000D4010000}"/>
            </a:ext>
          </a:extLst>
        </xdr:cNvPr>
        <xdr:cNvCxnSpPr/>
      </xdr:nvCxnSpPr>
      <xdr:spPr>
        <a:xfrm flipV="1">
          <a:off x="6690275" y="15973515"/>
          <a:ext cx="622329" cy="101499"/>
        </a:xfrm>
        <a:prstGeom prst="bentConnector3">
          <a:avLst>
            <a:gd name="adj1" fmla="val 50000"/>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13565</xdr:colOff>
      <xdr:row>78</xdr:row>
      <xdr:rowOff>86248</xdr:rowOff>
    </xdr:from>
    <xdr:to>
      <xdr:col>25</xdr:col>
      <xdr:colOff>593480</xdr:colOff>
      <xdr:row>78</xdr:row>
      <xdr:rowOff>86248</xdr:rowOff>
    </xdr:to>
    <xdr:cxnSp macro="">
      <xdr:nvCxnSpPr>
        <xdr:cNvPr id="469" name="Straight Arrow Connector 468">
          <a:extLst>
            <a:ext uri="{FF2B5EF4-FFF2-40B4-BE49-F238E27FC236}">
              <a16:creationId xmlns:a16="http://schemas.microsoft.com/office/drawing/2014/main" id="{00000000-0008-0000-0000-0000D5010000}"/>
            </a:ext>
          </a:extLst>
        </xdr:cNvPr>
        <xdr:cNvCxnSpPr/>
      </xdr:nvCxnSpPr>
      <xdr:spPr>
        <a:xfrm>
          <a:off x="10351853" y="16271421"/>
          <a:ext cx="551093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228596</xdr:colOff>
      <xdr:row>77</xdr:row>
      <xdr:rowOff>115087</xdr:rowOff>
    </xdr:from>
    <xdr:to>
      <xdr:col>9</xdr:col>
      <xdr:colOff>590893</xdr:colOff>
      <xdr:row>77</xdr:row>
      <xdr:rowOff>115087</xdr:rowOff>
    </xdr:to>
    <xdr:cxnSp macro="">
      <xdr:nvCxnSpPr>
        <xdr:cNvPr id="470" name="Straight Arrow Connector 469">
          <a:extLst>
            <a:ext uri="{FF2B5EF4-FFF2-40B4-BE49-F238E27FC236}">
              <a16:creationId xmlns:a16="http://schemas.microsoft.com/office/drawing/2014/main" id="{00000000-0008-0000-0000-0000D6010000}"/>
            </a:ext>
          </a:extLst>
        </xdr:cNvPr>
        <xdr:cNvCxnSpPr/>
      </xdr:nvCxnSpPr>
      <xdr:spPr>
        <a:xfrm>
          <a:off x="5683823" y="11475814"/>
          <a:ext cx="36229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227730</xdr:colOff>
      <xdr:row>76</xdr:row>
      <xdr:rowOff>114228</xdr:rowOff>
    </xdr:from>
    <xdr:to>
      <xdr:col>9</xdr:col>
      <xdr:colOff>593490</xdr:colOff>
      <xdr:row>76</xdr:row>
      <xdr:rowOff>114228</xdr:rowOff>
    </xdr:to>
    <xdr:cxnSp macro="">
      <xdr:nvCxnSpPr>
        <xdr:cNvPr id="471" name="Straight Arrow Connector 470">
          <a:extLst>
            <a:ext uri="{FF2B5EF4-FFF2-40B4-BE49-F238E27FC236}">
              <a16:creationId xmlns:a16="http://schemas.microsoft.com/office/drawing/2014/main" id="{00000000-0008-0000-0000-0000D7010000}"/>
            </a:ext>
          </a:extLst>
        </xdr:cNvPr>
        <xdr:cNvCxnSpPr/>
      </xdr:nvCxnSpPr>
      <xdr:spPr>
        <a:xfrm>
          <a:off x="5682957" y="11284455"/>
          <a:ext cx="365760"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58976</xdr:colOff>
      <xdr:row>76</xdr:row>
      <xdr:rowOff>101137</xdr:rowOff>
    </xdr:from>
    <xdr:to>
      <xdr:col>9</xdr:col>
      <xdr:colOff>545521</xdr:colOff>
      <xdr:row>77</xdr:row>
      <xdr:rowOff>172238</xdr:rowOff>
    </xdr:to>
    <xdr:sp macro="" textlink="">
      <xdr:nvSpPr>
        <xdr:cNvPr id="472" name="TextBox 471">
          <a:extLst>
            <a:ext uri="{FF2B5EF4-FFF2-40B4-BE49-F238E27FC236}">
              <a16:creationId xmlns:a16="http://schemas.microsoft.com/office/drawing/2014/main" id="{00000000-0008-0000-0000-0000D8010000}"/>
            </a:ext>
          </a:extLst>
        </xdr:cNvPr>
        <xdr:cNvSpPr txBox="1"/>
      </xdr:nvSpPr>
      <xdr:spPr>
        <a:xfrm>
          <a:off x="5514203" y="11271364"/>
          <a:ext cx="486545" cy="261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XOSC</a:t>
          </a:r>
        </a:p>
      </xdr:txBody>
    </xdr:sp>
    <xdr:clientData/>
  </xdr:twoCellAnchor>
  <xdr:oneCellAnchor>
    <xdr:from>
      <xdr:col>8</xdr:col>
      <xdr:colOff>592374</xdr:colOff>
      <xdr:row>75</xdr:row>
      <xdr:rowOff>96810</xdr:rowOff>
    </xdr:from>
    <xdr:ext cx="585257" cy="262467"/>
    <xdr:sp macro="" textlink="">
      <xdr:nvSpPr>
        <xdr:cNvPr id="473" name="TextBox 472">
          <a:extLst>
            <a:ext uri="{FF2B5EF4-FFF2-40B4-BE49-F238E27FC236}">
              <a16:creationId xmlns:a16="http://schemas.microsoft.com/office/drawing/2014/main" id="{00000000-0008-0000-0000-0000D9010000}"/>
            </a:ext>
          </a:extLst>
        </xdr:cNvPr>
        <xdr:cNvSpPr txBox="1"/>
      </xdr:nvSpPr>
      <xdr:spPr>
        <a:xfrm>
          <a:off x="5441465" y="11076537"/>
          <a:ext cx="585257" cy="262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IRCOSC</a:t>
          </a:r>
        </a:p>
      </xdr:txBody>
    </xdr:sp>
    <xdr:clientData/>
  </xdr:oneCellAnchor>
  <xdr:twoCellAnchor>
    <xdr:from>
      <xdr:col>9</xdr:col>
      <xdr:colOff>0</xdr:colOff>
      <xdr:row>78</xdr:row>
      <xdr:rowOff>68302</xdr:rowOff>
    </xdr:from>
    <xdr:to>
      <xdr:col>9</xdr:col>
      <xdr:colOff>602683</xdr:colOff>
      <xdr:row>78</xdr:row>
      <xdr:rowOff>69273</xdr:rowOff>
    </xdr:to>
    <xdr:cxnSp macro="">
      <xdr:nvCxnSpPr>
        <xdr:cNvPr id="474" name="Straight Arrow Connector 473">
          <a:extLst>
            <a:ext uri="{FF2B5EF4-FFF2-40B4-BE49-F238E27FC236}">
              <a16:creationId xmlns:a16="http://schemas.microsoft.com/office/drawing/2014/main" id="{00000000-0008-0000-0000-0000DA010000}"/>
            </a:ext>
          </a:extLst>
        </xdr:cNvPr>
        <xdr:cNvCxnSpPr/>
      </xdr:nvCxnSpPr>
      <xdr:spPr>
        <a:xfrm flipV="1">
          <a:off x="5455227" y="14338484"/>
          <a:ext cx="602683" cy="971"/>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454269</xdr:colOff>
      <xdr:row>80</xdr:row>
      <xdr:rowOff>12881</xdr:rowOff>
    </xdr:from>
    <xdr:to>
      <xdr:col>10</xdr:col>
      <xdr:colOff>1743</xdr:colOff>
      <xdr:row>80</xdr:row>
      <xdr:rowOff>12881</xdr:rowOff>
    </xdr:to>
    <xdr:cxnSp macro="">
      <xdr:nvCxnSpPr>
        <xdr:cNvPr id="475" name="Straight Arrow Connector 474">
          <a:extLst>
            <a:ext uri="{FF2B5EF4-FFF2-40B4-BE49-F238E27FC236}">
              <a16:creationId xmlns:a16="http://schemas.microsoft.com/office/drawing/2014/main" id="{00000000-0008-0000-0000-0000DB010000}"/>
            </a:ext>
          </a:extLst>
        </xdr:cNvPr>
        <xdr:cNvCxnSpPr/>
      </xdr:nvCxnSpPr>
      <xdr:spPr>
        <a:xfrm>
          <a:off x="5319346" y="17370362"/>
          <a:ext cx="763743" cy="0"/>
        </a:xfrm>
        <a:prstGeom prst="straightConnector1">
          <a:avLst/>
        </a:prstGeom>
        <a:ln w="19050">
          <a:solidFill>
            <a:schemeClr val="accent6">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25</xdr:col>
      <xdr:colOff>552715</xdr:colOff>
      <xdr:row>65</xdr:row>
      <xdr:rowOff>190933</xdr:rowOff>
    </xdr:from>
    <xdr:ext cx="1133475" cy="430790"/>
    <xdr:sp macro="" textlink="">
      <xdr:nvSpPr>
        <xdr:cNvPr id="480" name="TextBox 479">
          <a:extLst>
            <a:ext uri="{FF2B5EF4-FFF2-40B4-BE49-F238E27FC236}">
              <a16:creationId xmlns:a16="http://schemas.microsoft.com/office/drawing/2014/main" id="{00000000-0008-0000-0000-0000E0010000}"/>
            </a:ext>
          </a:extLst>
        </xdr:cNvPr>
        <xdr:cNvSpPr txBox="1"/>
      </xdr:nvSpPr>
      <xdr:spPr>
        <a:xfrm>
          <a:off x="15822023" y="13797029"/>
          <a:ext cx="1133475" cy="430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RMII_CLK</a:t>
          </a:r>
        </a:p>
        <a:p>
          <a:pPr algn="l"/>
          <a:r>
            <a:rPr lang="en-US" sz="1000" b="1"/>
            <a:t>(ext pin)</a:t>
          </a:r>
        </a:p>
      </xdr:txBody>
    </xdr:sp>
    <xdr:clientData/>
  </xdr:oneCellAnchor>
  <xdr:twoCellAnchor>
    <xdr:from>
      <xdr:col>24</xdr:col>
      <xdr:colOff>129886</xdr:colOff>
      <xdr:row>64</xdr:row>
      <xdr:rowOff>83127</xdr:rowOff>
    </xdr:from>
    <xdr:to>
      <xdr:col>25</xdr:col>
      <xdr:colOff>581290</xdr:colOff>
      <xdr:row>66</xdr:row>
      <xdr:rowOff>188118</xdr:rowOff>
    </xdr:to>
    <xdr:cxnSp macro="">
      <xdr:nvCxnSpPr>
        <xdr:cNvPr id="481" name="Elbow Connector 480">
          <a:extLst>
            <a:ext uri="{FF2B5EF4-FFF2-40B4-BE49-F238E27FC236}">
              <a16:creationId xmlns:a16="http://schemas.microsoft.com/office/drawing/2014/main" id="{00000000-0008-0000-0000-0000E1010000}"/>
            </a:ext>
          </a:extLst>
        </xdr:cNvPr>
        <xdr:cNvCxnSpPr/>
      </xdr:nvCxnSpPr>
      <xdr:spPr>
        <a:xfrm>
          <a:off x="14827694" y="13476742"/>
          <a:ext cx="1022904" cy="529953"/>
        </a:xfrm>
        <a:prstGeom prst="bentConnector3">
          <a:avLst>
            <a:gd name="adj1" fmla="val -213"/>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596908</xdr:colOff>
      <xdr:row>64</xdr:row>
      <xdr:rowOff>182119</xdr:rowOff>
    </xdr:from>
    <xdr:to>
      <xdr:col>10</xdr:col>
      <xdr:colOff>3471</xdr:colOff>
      <xdr:row>78</xdr:row>
      <xdr:rowOff>182118</xdr:rowOff>
    </xdr:to>
    <xdr:cxnSp macro="">
      <xdr:nvCxnSpPr>
        <xdr:cNvPr id="483" name="Elbow Connector 482">
          <a:extLst>
            <a:ext uri="{FF2B5EF4-FFF2-40B4-BE49-F238E27FC236}">
              <a16:creationId xmlns:a16="http://schemas.microsoft.com/office/drawing/2014/main" id="{00000000-0008-0000-0000-0000E3010000}"/>
            </a:ext>
          </a:extLst>
        </xdr:cNvPr>
        <xdr:cNvCxnSpPr>
          <a:stCxn id="113" idx="0"/>
          <a:endCxn id="464" idx="0"/>
        </xdr:cNvCxnSpPr>
      </xdr:nvCxnSpPr>
      <xdr:spPr>
        <a:xfrm rot="10800000" flipV="1">
          <a:off x="6052135" y="11742005"/>
          <a:ext cx="12700" cy="2710295"/>
        </a:xfrm>
        <a:prstGeom prst="bentConnector3">
          <a:avLst>
            <a:gd name="adj1" fmla="val 7443002"/>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13</xdr:col>
      <xdr:colOff>330995</xdr:colOff>
      <xdr:row>13</xdr:row>
      <xdr:rowOff>85725</xdr:rowOff>
    </xdr:from>
    <xdr:ext cx="183355" cy="219076"/>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8255795" y="1657350"/>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0</a:t>
          </a:r>
          <a:endParaRPr lang="en-US" sz="800"/>
        </a:p>
      </xdr:txBody>
    </xdr:sp>
    <xdr:clientData/>
  </xdr:oneCellAnchor>
  <xdr:oneCellAnchor>
    <xdr:from>
      <xdr:col>12</xdr:col>
      <xdr:colOff>273845</xdr:colOff>
      <xdr:row>31</xdr:row>
      <xdr:rowOff>76200</xdr:rowOff>
    </xdr:from>
    <xdr:ext cx="183355" cy="219076"/>
    <xdr:sp macro="" textlink="">
      <xdr:nvSpPr>
        <xdr:cNvPr id="164" name="TextBox 163">
          <a:extLst>
            <a:ext uri="{FF2B5EF4-FFF2-40B4-BE49-F238E27FC236}">
              <a16:creationId xmlns:a16="http://schemas.microsoft.com/office/drawing/2014/main" id="{00000000-0008-0000-0000-0000A4000000}"/>
            </a:ext>
          </a:extLst>
        </xdr:cNvPr>
        <xdr:cNvSpPr txBox="1"/>
      </xdr:nvSpPr>
      <xdr:spPr>
        <a:xfrm>
          <a:off x="7589045" y="5210175"/>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0</a:t>
          </a:r>
          <a:endParaRPr lang="en-US" sz="800"/>
        </a:p>
      </xdr:txBody>
    </xdr:sp>
    <xdr:clientData/>
  </xdr:oneCellAnchor>
  <xdr:oneCellAnchor>
    <xdr:from>
      <xdr:col>12</xdr:col>
      <xdr:colOff>292895</xdr:colOff>
      <xdr:row>40</xdr:row>
      <xdr:rowOff>66675</xdr:rowOff>
    </xdr:from>
    <xdr:ext cx="183355" cy="219076"/>
    <xdr:sp macro="" textlink="">
      <xdr:nvSpPr>
        <xdr:cNvPr id="165" name="TextBox 164">
          <a:extLst>
            <a:ext uri="{FF2B5EF4-FFF2-40B4-BE49-F238E27FC236}">
              <a16:creationId xmlns:a16="http://schemas.microsoft.com/office/drawing/2014/main" id="{00000000-0008-0000-0000-0000A5000000}"/>
            </a:ext>
          </a:extLst>
        </xdr:cNvPr>
        <xdr:cNvSpPr txBox="1"/>
      </xdr:nvSpPr>
      <xdr:spPr>
        <a:xfrm>
          <a:off x="7608095" y="6962775"/>
          <a:ext cx="183355" cy="2190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0</a:t>
          </a:r>
          <a:endParaRPr lang="en-US" sz="800"/>
        </a:p>
      </xdr:txBody>
    </xdr:sp>
    <xdr:clientData/>
  </xdr:oneCellAnchor>
  <xdr:twoCellAnchor>
    <xdr:from>
      <xdr:col>7</xdr:col>
      <xdr:colOff>255985</xdr:colOff>
      <xdr:row>81</xdr:row>
      <xdr:rowOff>89189</xdr:rowOff>
    </xdr:from>
    <xdr:to>
      <xdr:col>9</xdr:col>
      <xdr:colOff>602673</xdr:colOff>
      <xdr:row>81</xdr:row>
      <xdr:rowOff>89190</xdr:rowOff>
    </xdr:to>
    <xdr:cxnSp macro="">
      <xdr:nvCxnSpPr>
        <xdr:cNvPr id="179" name="Straight Arrow Connector 178">
          <a:extLst>
            <a:ext uri="{FF2B5EF4-FFF2-40B4-BE49-F238E27FC236}">
              <a16:creationId xmlns:a16="http://schemas.microsoft.com/office/drawing/2014/main" id="{00000000-0008-0000-0000-0000B3000000}"/>
            </a:ext>
          </a:extLst>
        </xdr:cNvPr>
        <xdr:cNvCxnSpPr/>
      </xdr:nvCxnSpPr>
      <xdr:spPr>
        <a:xfrm>
          <a:off x="4506516" y="16287642"/>
          <a:ext cx="1561126" cy="1"/>
        </a:xfrm>
        <a:prstGeom prst="straightConnector1">
          <a:avLst/>
        </a:prstGeom>
        <a:ln w="19050">
          <a:solidFill>
            <a:schemeClr val="accent5">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481852</xdr:colOff>
      <xdr:row>0</xdr:row>
      <xdr:rowOff>44823</xdr:rowOff>
    </xdr:from>
    <xdr:ext cx="4840942" cy="895348"/>
    <xdr:sp macro="" textlink="">
      <xdr:nvSpPr>
        <xdr:cNvPr id="167" name="TextBox 166">
          <a:extLst>
            <a:ext uri="{FF2B5EF4-FFF2-40B4-BE49-F238E27FC236}">
              <a16:creationId xmlns:a16="http://schemas.microsoft.com/office/drawing/2014/main" id="{00000000-0008-0000-0000-0000A7000000}"/>
            </a:ext>
          </a:extLst>
        </xdr:cNvPr>
        <xdr:cNvSpPr txBox="1"/>
      </xdr:nvSpPr>
      <xdr:spPr>
        <a:xfrm>
          <a:off x="2902323" y="44823"/>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MPC574xP Clock Configuration</a:t>
          </a:r>
        </a:p>
      </xdr:txBody>
    </xdr:sp>
    <xdr:clientData/>
  </xdr:oneCellAnchor>
  <xdr:oneCellAnchor>
    <xdr:from>
      <xdr:col>4</xdr:col>
      <xdr:colOff>593912</xdr:colOff>
      <xdr:row>21</xdr:row>
      <xdr:rowOff>22412</xdr:rowOff>
    </xdr:from>
    <xdr:ext cx="681253" cy="273845"/>
    <xdr:sp macro="" textlink="">
      <xdr:nvSpPr>
        <xdr:cNvPr id="168" name="TextBox 167">
          <a:extLst>
            <a:ext uri="{FF2B5EF4-FFF2-40B4-BE49-F238E27FC236}">
              <a16:creationId xmlns:a16="http://schemas.microsoft.com/office/drawing/2014/main" id="{00000000-0008-0000-0000-0000A8000000}"/>
            </a:ext>
          </a:extLst>
        </xdr:cNvPr>
        <xdr:cNvSpPr txBox="1"/>
      </xdr:nvSpPr>
      <xdr:spPr>
        <a:xfrm>
          <a:off x="3014383" y="4168588"/>
          <a:ext cx="681253" cy="27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PLL0 Input</a:t>
          </a:r>
          <a:endParaRPr lang="en-US" sz="800"/>
        </a:p>
      </xdr:txBody>
    </xdr:sp>
    <xdr:clientData/>
  </xdr:oneCellAnchor>
  <xdr:twoCellAnchor>
    <xdr:from>
      <xdr:col>5</xdr:col>
      <xdr:colOff>299357</xdr:colOff>
      <xdr:row>19</xdr:row>
      <xdr:rowOff>21771</xdr:rowOff>
    </xdr:from>
    <xdr:to>
      <xdr:col>5</xdr:col>
      <xdr:colOff>324939</xdr:colOff>
      <xdr:row>21</xdr:row>
      <xdr:rowOff>22412</xdr:rowOff>
    </xdr:to>
    <xdr:cxnSp macro="">
      <xdr:nvCxnSpPr>
        <xdr:cNvPr id="10" name="Straight Connector 9">
          <a:extLst>
            <a:ext uri="{FF2B5EF4-FFF2-40B4-BE49-F238E27FC236}">
              <a16:creationId xmlns:a16="http://schemas.microsoft.com/office/drawing/2014/main" id="{00000000-0008-0000-0000-00000A000000}"/>
            </a:ext>
          </a:extLst>
        </xdr:cNvPr>
        <xdr:cNvCxnSpPr>
          <a:stCxn id="168" idx="0"/>
        </xdr:cNvCxnSpPr>
      </xdr:nvCxnSpPr>
      <xdr:spPr>
        <a:xfrm flipH="1" flipV="1">
          <a:off x="3347357" y="3761014"/>
          <a:ext cx="25582" cy="403412"/>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0</xdr:colOff>
      <xdr:row>7</xdr:row>
      <xdr:rowOff>93170</xdr:rowOff>
    </xdr:from>
    <xdr:ext cx="681253" cy="273845"/>
    <xdr:sp macro="" textlink="">
      <xdr:nvSpPr>
        <xdr:cNvPr id="170" name="TextBox 169">
          <a:extLst>
            <a:ext uri="{FF2B5EF4-FFF2-40B4-BE49-F238E27FC236}">
              <a16:creationId xmlns:a16="http://schemas.microsoft.com/office/drawing/2014/main" id="{00000000-0008-0000-0000-0000AA000000}"/>
            </a:ext>
          </a:extLst>
        </xdr:cNvPr>
        <xdr:cNvSpPr txBox="1"/>
      </xdr:nvSpPr>
      <xdr:spPr>
        <a:xfrm>
          <a:off x="3048000" y="1437556"/>
          <a:ext cx="681253" cy="27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baseline="0"/>
            <a:t>PLL1 Input</a:t>
          </a:r>
          <a:endParaRPr lang="en-US" sz="800"/>
        </a:p>
      </xdr:txBody>
    </xdr:sp>
    <xdr:clientData/>
  </xdr:oneCellAnchor>
  <xdr:twoCellAnchor>
    <xdr:from>
      <xdr:col>5</xdr:col>
      <xdr:colOff>297084</xdr:colOff>
      <xdr:row>8</xdr:row>
      <xdr:rowOff>176515</xdr:rowOff>
    </xdr:from>
    <xdr:to>
      <xdr:col>5</xdr:col>
      <xdr:colOff>340627</xdr:colOff>
      <xdr:row>11</xdr:row>
      <xdr:rowOff>641</xdr:rowOff>
    </xdr:to>
    <xdr:cxnSp macro="">
      <xdr:nvCxnSpPr>
        <xdr:cNvPr id="171" name="Straight Connector 170">
          <a:extLst>
            <a:ext uri="{FF2B5EF4-FFF2-40B4-BE49-F238E27FC236}">
              <a16:creationId xmlns:a16="http://schemas.microsoft.com/office/drawing/2014/main" id="{00000000-0008-0000-0000-0000AB000000}"/>
            </a:ext>
          </a:extLst>
        </xdr:cNvPr>
        <xdr:cNvCxnSpPr>
          <a:endCxn id="170" idx="2"/>
        </xdr:cNvCxnSpPr>
      </xdr:nvCxnSpPr>
      <xdr:spPr>
        <a:xfrm flipV="1">
          <a:off x="3345084" y="1711401"/>
          <a:ext cx="43543" cy="428283"/>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333375</xdr:colOff>
      <xdr:row>13</xdr:row>
      <xdr:rowOff>160681</xdr:rowOff>
    </xdr:from>
    <xdr:to>
      <xdr:col>1</xdr:col>
      <xdr:colOff>335126</xdr:colOff>
      <xdr:row>17</xdr:row>
      <xdr:rowOff>28281</xdr:rowOff>
    </xdr:to>
    <xdr:cxnSp macro="">
      <xdr:nvCxnSpPr>
        <xdr:cNvPr id="188" name="Straight Arrow Connector 187">
          <a:extLst>
            <a:ext uri="{FF2B5EF4-FFF2-40B4-BE49-F238E27FC236}">
              <a16:creationId xmlns:a16="http://schemas.microsoft.com/office/drawing/2014/main" id="{00000000-0008-0000-0000-0000BC000000}"/>
            </a:ext>
          </a:extLst>
        </xdr:cNvPr>
        <xdr:cNvCxnSpPr>
          <a:endCxn id="191" idx="2"/>
        </xdr:cNvCxnSpPr>
      </xdr:nvCxnSpPr>
      <xdr:spPr>
        <a:xfrm flipV="1">
          <a:off x="943841" y="2836340"/>
          <a:ext cx="1751" cy="664236"/>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441806</xdr:colOff>
      <xdr:row>10</xdr:row>
      <xdr:rowOff>25990</xdr:rowOff>
    </xdr:from>
    <xdr:to>
      <xdr:col>2</xdr:col>
      <xdr:colOff>228446</xdr:colOff>
      <xdr:row>13</xdr:row>
      <xdr:rowOff>160681</xdr:rowOff>
    </xdr:to>
    <xdr:sp macro="" textlink="">
      <xdr:nvSpPr>
        <xdr:cNvPr id="191" name="Rectangle 190">
          <a:extLst>
            <a:ext uri="{FF2B5EF4-FFF2-40B4-BE49-F238E27FC236}">
              <a16:creationId xmlns:a16="http://schemas.microsoft.com/office/drawing/2014/main" id="{00000000-0008-0000-0000-0000BF000000}"/>
            </a:ext>
          </a:extLst>
        </xdr:cNvPr>
        <xdr:cNvSpPr/>
      </xdr:nvSpPr>
      <xdr:spPr>
        <a:xfrm>
          <a:off x="441806" y="2104172"/>
          <a:ext cx="1007572" cy="7321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XOSC</a:t>
          </a:r>
          <a:r>
            <a:rPr lang="en-US" sz="1100" baseline="0"/>
            <a:t> Source Controller</a:t>
          </a:r>
        </a:p>
        <a:p>
          <a:pPr algn="ctr"/>
          <a:r>
            <a:rPr lang="en-US" sz="800"/>
            <a:t>MC_ME_&lt;MODE&gt;_MC[XOSCON]</a:t>
          </a:r>
        </a:p>
      </xdr:txBody>
    </xdr:sp>
    <xdr:clientData/>
  </xdr:twoCellAnchor>
  <xdr:oneCellAnchor>
    <xdr:from>
      <xdr:col>0</xdr:col>
      <xdr:colOff>558512</xdr:colOff>
      <xdr:row>7</xdr:row>
      <xdr:rowOff>108239</xdr:rowOff>
    </xdr:from>
    <xdr:ext cx="876300" cy="342900"/>
    <xdr:sp macro="" textlink="">
      <xdr:nvSpPr>
        <xdr:cNvPr id="194" name="TextBox 193">
          <a:extLst>
            <a:ext uri="{FF2B5EF4-FFF2-40B4-BE49-F238E27FC236}">
              <a16:creationId xmlns:a16="http://schemas.microsoft.com/office/drawing/2014/main" id="{00000000-0008-0000-0000-0000C2000000}"/>
            </a:ext>
          </a:extLst>
        </xdr:cNvPr>
        <xdr:cNvSpPr txBox="1"/>
      </xdr:nvSpPr>
      <xdr:spPr>
        <a:xfrm>
          <a:off x="558512" y="1597603"/>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XOSC</a:t>
          </a:r>
          <a:r>
            <a:rPr lang="en-US" sz="800" baseline="0"/>
            <a:t> Off</a:t>
          </a:r>
          <a:endParaRPr lang="en-US" sz="800"/>
        </a:p>
        <a:p>
          <a:r>
            <a:rPr lang="en-US" sz="800"/>
            <a:t>1 - XOSC On</a:t>
          </a:r>
        </a:p>
      </xdr:txBody>
    </xdr:sp>
    <xdr:clientData/>
  </xdr:oneCellAnchor>
  <xdr:twoCellAnchor>
    <xdr:from>
      <xdr:col>3</xdr:col>
      <xdr:colOff>11206</xdr:colOff>
      <xdr:row>19</xdr:row>
      <xdr:rowOff>22411</xdr:rowOff>
    </xdr:from>
    <xdr:to>
      <xdr:col>5</xdr:col>
      <xdr:colOff>312845</xdr:colOff>
      <xdr:row>26</xdr:row>
      <xdr:rowOff>185968</xdr:rowOff>
    </xdr:to>
    <xdr:cxnSp macro="">
      <xdr:nvCxnSpPr>
        <xdr:cNvPr id="203" name="Straight Arrow Connector 181">
          <a:extLst>
            <a:ext uri="{FF2B5EF4-FFF2-40B4-BE49-F238E27FC236}">
              <a16:creationId xmlns:a16="http://schemas.microsoft.com/office/drawing/2014/main" id="{00000000-0008-0000-0000-0000CB000000}"/>
            </a:ext>
          </a:extLst>
        </xdr:cNvPr>
        <xdr:cNvCxnSpPr/>
      </xdr:nvCxnSpPr>
      <xdr:spPr>
        <a:xfrm rot="16200000" flipH="1">
          <a:off x="1789985" y="4663482"/>
          <a:ext cx="1620882" cy="1520839"/>
        </a:xfrm>
        <a:prstGeom prst="bentConnector3">
          <a:avLst>
            <a:gd name="adj1" fmla="val 114306"/>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253604</xdr:colOff>
      <xdr:row>67</xdr:row>
      <xdr:rowOff>107156</xdr:rowOff>
    </xdr:from>
    <xdr:to>
      <xdr:col>7</xdr:col>
      <xdr:colOff>253604</xdr:colOff>
      <xdr:row>81</xdr:row>
      <xdr:rowOff>98714</xdr:rowOff>
    </xdr:to>
    <xdr:cxnSp macro="">
      <xdr:nvCxnSpPr>
        <xdr:cNvPr id="219" name="Straight Arrow Connector 218">
          <a:extLst>
            <a:ext uri="{FF2B5EF4-FFF2-40B4-BE49-F238E27FC236}">
              <a16:creationId xmlns:a16="http://schemas.microsoft.com/office/drawing/2014/main" id="{00000000-0008-0000-0000-0000DB000000}"/>
            </a:ext>
          </a:extLst>
        </xdr:cNvPr>
        <xdr:cNvCxnSpPr/>
      </xdr:nvCxnSpPr>
      <xdr:spPr>
        <a:xfrm flipV="1">
          <a:off x="4504135" y="13579078"/>
          <a:ext cx="0" cy="2718089"/>
        </a:xfrm>
        <a:prstGeom prst="straightConnector1">
          <a:avLst/>
        </a:prstGeom>
        <a:ln w="19050">
          <a:solidFill>
            <a:schemeClr val="accent5">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422672</xdr:colOff>
      <xdr:row>25</xdr:row>
      <xdr:rowOff>19050</xdr:rowOff>
    </xdr:from>
    <xdr:to>
      <xdr:col>2</xdr:col>
      <xdr:colOff>209312</xdr:colOff>
      <xdr:row>28</xdr:row>
      <xdr:rowOff>159694</xdr:rowOff>
    </xdr:to>
    <xdr:sp macro="" textlink="">
      <xdr:nvSpPr>
        <xdr:cNvPr id="237" name="Rectangle 236">
          <a:extLst>
            <a:ext uri="{FF2B5EF4-FFF2-40B4-BE49-F238E27FC236}">
              <a16:creationId xmlns:a16="http://schemas.microsoft.com/office/drawing/2014/main" id="{00000000-0008-0000-0000-0000ED000000}"/>
            </a:ext>
          </a:extLst>
        </xdr:cNvPr>
        <xdr:cNvSpPr/>
      </xdr:nvSpPr>
      <xdr:spPr>
        <a:xfrm>
          <a:off x="422672" y="5857875"/>
          <a:ext cx="1005840" cy="7692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IRCOSC Source Controller</a:t>
          </a:r>
        </a:p>
        <a:p>
          <a:pPr algn="ctr"/>
          <a:r>
            <a:rPr lang="en-US" sz="800"/>
            <a:t>MC_ME_&lt;MODE&gt;_MC[IRCON]</a:t>
          </a:r>
        </a:p>
      </xdr:txBody>
    </xdr:sp>
    <xdr:clientData/>
  </xdr:twoCellAnchor>
  <xdr:twoCellAnchor>
    <xdr:from>
      <xdr:col>1</xdr:col>
      <xdr:colOff>303609</xdr:colOff>
      <xdr:row>28</xdr:row>
      <xdr:rowOff>161925</xdr:rowOff>
    </xdr:from>
    <xdr:to>
      <xdr:col>1</xdr:col>
      <xdr:colOff>303609</xdr:colOff>
      <xdr:row>30</xdr:row>
      <xdr:rowOff>30959</xdr:rowOff>
    </xdr:to>
    <xdr:cxnSp macro="">
      <xdr:nvCxnSpPr>
        <xdr:cNvPr id="239" name="Straight Arrow Connector 238">
          <a:extLst>
            <a:ext uri="{FF2B5EF4-FFF2-40B4-BE49-F238E27FC236}">
              <a16:creationId xmlns:a16="http://schemas.microsoft.com/office/drawing/2014/main" id="{00000000-0008-0000-0000-0000EF000000}"/>
            </a:ext>
          </a:extLst>
        </xdr:cNvPr>
        <xdr:cNvCxnSpPr/>
      </xdr:nvCxnSpPr>
      <xdr:spPr>
        <a:xfrm flipV="1">
          <a:off x="913209" y="6629400"/>
          <a:ext cx="0" cy="278609"/>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486966</xdr:colOff>
      <xdr:row>22</xdr:row>
      <xdr:rowOff>94060</xdr:rowOff>
    </xdr:from>
    <xdr:ext cx="876300" cy="342900"/>
    <xdr:sp macro="" textlink="">
      <xdr:nvSpPr>
        <xdr:cNvPr id="243" name="TextBox 242">
          <a:extLst>
            <a:ext uri="{FF2B5EF4-FFF2-40B4-BE49-F238E27FC236}">
              <a16:creationId xmlns:a16="http://schemas.microsoft.com/office/drawing/2014/main" id="{00000000-0008-0000-0000-0000F3000000}"/>
            </a:ext>
          </a:extLst>
        </xdr:cNvPr>
        <xdr:cNvSpPr txBox="1"/>
      </xdr:nvSpPr>
      <xdr:spPr>
        <a:xfrm>
          <a:off x="486966" y="5304235"/>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IRCOSC</a:t>
          </a:r>
          <a:r>
            <a:rPr lang="en-US" sz="800" baseline="0"/>
            <a:t> Off</a:t>
          </a:r>
          <a:endParaRPr lang="en-US" sz="800"/>
        </a:p>
        <a:p>
          <a:r>
            <a:rPr lang="en-US" sz="800"/>
            <a:t>1 - IRCOSC On</a:t>
          </a:r>
        </a:p>
      </xdr:txBody>
    </xdr:sp>
    <xdr:clientData/>
  </xdr:oneCellAnchor>
  <xdr:twoCellAnchor>
    <xdr:from>
      <xdr:col>13</xdr:col>
      <xdr:colOff>0</xdr:colOff>
      <xdr:row>20</xdr:row>
      <xdr:rowOff>0</xdr:rowOff>
    </xdr:from>
    <xdr:to>
      <xdr:col>13</xdr:col>
      <xdr:colOff>603504</xdr:colOff>
      <xdr:row>21</xdr:row>
      <xdr:rowOff>9525</xdr:rowOff>
    </xdr:to>
    <xdr:sp macro="" textlink="">
      <xdr:nvSpPr>
        <xdr:cNvPr id="180" name="Rectangle 179">
          <a:extLst>
            <a:ext uri="{FF2B5EF4-FFF2-40B4-BE49-F238E27FC236}">
              <a16:creationId xmlns:a16="http://schemas.microsoft.com/office/drawing/2014/main" id="{00000000-0008-0000-0000-0000B4000000}"/>
            </a:ext>
          </a:extLst>
        </xdr:cNvPr>
        <xdr:cNvSpPr/>
      </xdr:nvSpPr>
      <xdr:spPr>
        <a:xfrm>
          <a:off x="7924800" y="4200525"/>
          <a:ext cx="603504" cy="209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14</xdr:col>
      <xdr:colOff>9525</xdr:colOff>
      <xdr:row>20</xdr:row>
      <xdr:rowOff>19050</xdr:rowOff>
    </xdr:from>
    <xdr:to>
      <xdr:col>16</xdr:col>
      <xdr:colOff>549519</xdr:colOff>
      <xdr:row>20</xdr:row>
      <xdr:rowOff>19050</xdr:rowOff>
    </xdr:to>
    <xdr:cxnSp macro="">
      <xdr:nvCxnSpPr>
        <xdr:cNvPr id="181" name="Straight Arrow Connector 180">
          <a:extLst>
            <a:ext uri="{FF2B5EF4-FFF2-40B4-BE49-F238E27FC236}">
              <a16:creationId xmlns:a16="http://schemas.microsoft.com/office/drawing/2014/main" id="{00000000-0008-0000-0000-0000B5000000}"/>
            </a:ext>
          </a:extLst>
        </xdr:cNvPr>
        <xdr:cNvCxnSpPr/>
      </xdr:nvCxnSpPr>
      <xdr:spPr>
        <a:xfrm>
          <a:off x="8523410" y="4825512"/>
          <a:ext cx="175626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23</xdr:row>
      <xdr:rowOff>0</xdr:rowOff>
    </xdr:from>
    <xdr:to>
      <xdr:col>13</xdr:col>
      <xdr:colOff>603504</xdr:colOff>
      <xdr:row>24</xdr:row>
      <xdr:rowOff>19050</xdr:rowOff>
    </xdr:to>
    <xdr:sp macro="" textlink="">
      <xdr:nvSpPr>
        <xdr:cNvPr id="184" name="Rectangle 183">
          <a:extLst>
            <a:ext uri="{FF2B5EF4-FFF2-40B4-BE49-F238E27FC236}">
              <a16:creationId xmlns:a16="http://schemas.microsoft.com/office/drawing/2014/main" id="{00000000-0008-0000-0000-0000B8000000}"/>
            </a:ext>
          </a:extLst>
        </xdr:cNvPr>
        <xdr:cNvSpPr/>
      </xdr:nvSpPr>
      <xdr:spPr>
        <a:xfrm>
          <a:off x="7924800" y="4829175"/>
          <a:ext cx="603504" cy="219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14</xdr:col>
      <xdr:colOff>9525</xdr:colOff>
      <xdr:row>23</xdr:row>
      <xdr:rowOff>9525</xdr:rowOff>
    </xdr:from>
    <xdr:to>
      <xdr:col>16</xdr:col>
      <xdr:colOff>556846</xdr:colOff>
      <xdr:row>23</xdr:row>
      <xdr:rowOff>9525</xdr:rowOff>
    </xdr:to>
    <xdr:cxnSp macro="">
      <xdr:nvCxnSpPr>
        <xdr:cNvPr id="185" name="Straight Arrow Connector 184">
          <a:extLst>
            <a:ext uri="{FF2B5EF4-FFF2-40B4-BE49-F238E27FC236}">
              <a16:creationId xmlns:a16="http://schemas.microsoft.com/office/drawing/2014/main" id="{00000000-0008-0000-0000-0000B9000000}"/>
            </a:ext>
          </a:extLst>
        </xdr:cNvPr>
        <xdr:cNvCxnSpPr/>
      </xdr:nvCxnSpPr>
      <xdr:spPr>
        <a:xfrm>
          <a:off x="8523410" y="5453429"/>
          <a:ext cx="176359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0</xdr:colOff>
      <xdr:row>26</xdr:row>
      <xdr:rowOff>19050</xdr:rowOff>
    </xdr:from>
    <xdr:to>
      <xdr:col>16</xdr:col>
      <xdr:colOff>571500</xdr:colOff>
      <xdr:row>26</xdr:row>
      <xdr:rowOff>19050</xdr:rowOff>
    </xdr:to>
    <xdr:cxnSp macro="">
      <xdr:nvCxnSpPr>
        <xdr:cNvPr id="186" name="Straight Arrow Connector 185">
          <a:extLst>
            <a:ext uri="{FF2B5EF4-FFF2-40B4-BE49-F238E27FC236}">
              <a16:creationId xmlns:a16="http://schemas.microsoft.com/office/drawing/2014/main" id="{00000000-0008-0000-0000-0000BA000000}"/>
            </a:ext>
          </a:extLst>
        </xdr:cNvPr>
        <xdr:cNvCxnSpPr/>
      </xdr:nvCxnSpPr>
      <xdr:spPr>
        <a:xfrm>
          <a:off x="8513885" y="6100396"/>
          <a:ext cx="17877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26</xdr:row>
      <xdr:rowOff>0</xdr:rowOff>
    </xdr:from>
    <xdr:to>
      <xdr:col>13</xdr:col>
      <xdr:colOff>603504</xdr:colOff>
      <xdr:row>27</xdr:row>
      <xdr:rowOff>19050</xdr:rowOff>
    </xdr:to>
    <xdr:sp macro="" textlink="">
      <xdr:nvSpPr>
        <xdr:cNvPr id="189" name="Rectangle 188">
          <a:extLst>
            <a:ext uri="{FF2B5EF4-FFF2-40B4-BE49-F238E27FC236}">
              <a16:creationId xmlns:a16="http://schemas.microsoft.com/office/drawing/2014/main" id="{00000000-0008-0000-0000-0000BD000000}"/>
            </a:ext>
          </a:extLst>
        </xdr:cNvPr>
        <xdr:cNvSpPr/>
      </xdr:nvSpPr>
      <xdr:spPr>
        <a:xfrm>
          <a:off x="7924800" y="5457825"/>
          <a:ext cx="603504"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14</xdr:col>
      <xdr:colOff>28575</xdr:colOff>
      <xdr:row>32</xdr:row>
      <xdr:rowOff>19050</xdr:rowOff>
    </xdr:from>
    <xdr:to>
      <xdr:col>16</xdr:col>
      <xdr:colOff>556846</xdr:colOff>
      <xdr:row>32</xdr:row>
      <xdr:rowOff>19050</xdr:rowOff>
    </xdr:to>
    <xdr:cxnSp macro="">
      <xdr:nvCxnSpPr>
        <xdr:cNvPr id="190" name="Straight Arrow Connector 189">
          <a:extLst>
            <a:ext uri="{FF2B5EF4-FFF2-40B4-BE49-F238E27FC236}">
              <a16:creationId xmlns:a16="http://schemas.microsoft.com/office/drawing/2014/main" id="{00000000-0008-0000-0000-0000BE000000}"/>
            </a:ext>
          </a:extLst>
        </xdr:cNvPr>
        <xdr:cNvCxnSpPr/>
      </xdr:nvCxnSpPr>
      <xdr:spPr>
        <a:xfrm>
          <a:off x="8542460" y="7323992"/>
          <a:ext cx="174454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32</xdr:row>
      <xdr:rowOff>0</xdr:rowOff>
    </xdr:from>
    <xdr:to>
      <xdr:col>13</xdr:col>
      <xdr:colOff>603504</xdr:colOff>
      <xdr:row>33</xdr:row>
      <xdr:rowOff>19050</xdr:rowOff>
    </xdr:to>
    <xdr:sp macro="" textlink="">
      <xdr:nvSpPr>
        <xdr:cNvPr id="192" name="Rectangle 191">
          <a:extLst>
            <a:ext uri="{FF2B5EF4-FFF2-40B4-BE49-F238E27FC236}">
              <a16:creationId xmlns:a16="http://schemas.microsoft.com/office/drawing/2014/main" id="{00000000-0008-0000-0000-0000C0000000}"/>
            </a:ext>
          </a:extLst>
        </xdr:cNvPr>
        <xdr:cNvSpPr/>
      </xdr:nvSpPr>
      <xdr:spPr>
        <a:xfrm>
          <a:off x="7924800" y="6677025"/>
          <a:ext cx="603504"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13</xdr:col>
      <xdr:colOff>0</xdr:colOff>
      <xdr:row>41</xdr:row>
      <xdr:rowOff>0</xdr:rowOff>
    </xdr:from>
    <xdr:to>
      <xdr:col>13</xdr:col>
      <xdr:colOff>603504</xdr:colOff>
      <xdr:row>42</xdr:row>
      <xdr:rowOff>28575</xdr:rowOff>
    </xdr:to>
    <xdr:sp macro="" textlink="">
      <xdr:nvSpPr>
        <xdr:cNvPr id="195" name="Rectangle 194">
          <a:extLst>
            <a:ext uri="{FF2B5EF4-FFF2-40B4-BE49-F238E27FC236}">
              <a16:creationId xmlns:a16="http://schemas.microsoft.com/office/drawing/2014/main" id="{00000000-0008-0000-0000-0000C3000000}"/>
            </a:ext>
          </a:extLst>
        </xdr:cNvPr>
        <xdr:cNvSpPr/>
      </xdr:nvSpPr>
      <xdr:spPr>
        <a:xfrm>
          <a:off x="7924800" y="8486775"/>
          <a:ext cx="603504"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14</xdr:col>
      <xdr:colOff>0</xdr:colOff>
      <xdr:row>41</xdr:row>
      <xdr:rowOff>9525</xdr:rowOff>
    </xdr:from>
    <xdr:to>
      <xdr:col>16</xdr:col>
      <xdr:colOff>571500</xdr:colOff>
      <xdr:row>41</xdr:row>
      <xdr:rowOff>9525</xdr:rowOff>
    </xdr:to>
    <xdr:cxnSp macro="">
      <xdr:nvCxnSpPr>
        <xdr:cNvPr id="196" name="Straight Arrow Connector 195">
          <a:extLst>
            <a:ext uri="{FF2B5EF4-FFF2-40B4-BE49-F238E27FC236}">
              <a16:creationId xmlns:a16="http://schemas.microsoft.com/office/drawing/2014/main" id="{00000000-0008-0000-0000-0000C4000000}"/>
            </a:ext>
          </a:extLst>
        </xdr:cNvPr>
        <xdr:cNvCxnSpPr/>
      </xdr:nvCxnSpPr>
      <xdr:spPr>
        <a:xfrm>
          <a:off x="8513885" y="9124217"/>
          <a:ext cx="17877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52</xdr:row>
      <xdr:rowOff>0</xdr:rowOff>
    </xdr:from>
    <xdr:to>
      <xdr:col>12</xdr:col>
      <xdr:colOff>603504</xdr:colOff>
      <xdr:row>53</xdr:row>
      <xdr:rowOff>28575</xdr:rowOff>
    </xdr:to>
    <xdr:sp macro="" textlink="">
      <xdr:nvSpPr>
        <xdr:cNvPr id="197" name="Rectangle 196">
          <a:extLst>
            <a:ext uri="{FF2B5EF4-FFF2-40B4-BE49-F238E27FC236}">
              <a16:creationId xmlns:a16="http://schemas.microsoft.com/office/drawing/2014/main" id="{00000000-0008-0000-0000-0000C5000000}"/>
            </a:ext>
          </a:extLst>
        </xdr:cNvPr>
        <xdr:cNvSpPr/>
      </xdr:nvSpPr>
      <xdr:spPr>
        <a:xfrm>
          <a:off x="7315200" y="10706100"/>
          <a:ext cx="603504" cy="238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13</xdr:col>
      <xdr:colOff>0</xdr:colOff>
      <xdr:row>52</xdr:row>
      <xdr:rowOff>9525</xdr:rowOff>
    </xdr:from>
    <xdr:to>
      <xdr:col>15</xdr:col>
      <xdr:colOff>564173</xdr:colOff>
      <xdr:row>52</xdr:row>
      <xdr:rowOff>9525</xdr:rowOff>
    </xdr:to>
    <xdr:cxnSp macro="">
      <xdr:nvCxnSpPr>
        <xdr:cNvPr id="198" name="Straight Arrow Connector 197">
          <a:extLst>
            <a:ext uri="{FF2B5EF4-FFF2-40B4-BE49-F238E27FC236}">
              <a16:creationId xmlns:a16="http://schemas.microsoft.com/office/drawing/2014/main" id="{00000000-0008-0000-0000-0000C6000000}"/>
            </a:ext>
          </a:extLst>
        </xdr:cNvPr>
        <xdr:cNvCxnSpPr/>
      </xdr:nvCxnSpPr>
      <xdr:spPr>
        <a:xfrm>
          <a:off x="7905750" y="11366256"/>
          <a:ext cx="17804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55</xdr:row>
      <xdr:rowOff>0</xdr:rowOff>
    </xdr:from>
    <xdr:to>
      <xdr:col>12</xdr:col>
      <xdr:colOff>603504</xdr:colOff>
      <xdr:row>56</xdr:row>
      <xdr:rowOff>38100</xdr:rowOff>
    </xdr:to>
    <xdr:sp macro="" textlink="">
      <xdr:nvSpPr>
        <xdr:cNvPr id="201" name="Rectangle 200">
          <a:extLst>
            <a:ext uri="{FF2B5EF4-FFF2-40B4-BE49-F238E27FC236}">
              <a16:creationId xmlns:a16="http://schemas.microsoft.com/office/drawing/2014/main" id="{00000000-0008-0000-0000-0000C9000000}"/>
            </a:ext>
          </a:extLst>
        </xdr:cNvPr>
        <xdr:cNvSpPr/>
      </xdr:nvSpPr>
      <xdr:spPr>
        <a:xfrm>
          <a:off x="7315200" y="11334750"/>
          <a:ext cx="603504" cy="238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13</xdr:col>
      <xdr:colOff>9525</xdr:colOff>
      <xdr:row>55</xdr:row>
      <xdr:rowOff>19050</xdr:rowOff>
    </xdr:from>
    <xdr:to>
      <xdr:col>15</xdr:col>
      <xdr:colOff>549519</xdr:colOff>
      <xdr:row>55</xdr:row>
      <xdr:rowOff>19050</xdr:rowOff>
    </xdr:to>
    <xdr:cxnSp macro="">
      <xdr:nvCxnSpPr>
        <xdr:cNvPr id="204" name="Straight Arrow Connector 203">
          <a:extLst>
            <a:ext uri="{FF2B5EF4-FFF2-40B4-BE49-F238E27FC236}">
              <a16:creationId xmlns:a16="http://schemas.microsoft.com/office/drawing/2014/main" id="{00000000-0008-0000-0000-0000CC000000}"/>
            </a:ext>
          </a:extLst>
        </xdr:cNvPr>
        <xdr:cNvCxnSpPr/>
      </xdr:nvCxnSpPr>
      <xdr:spPr>
        <a:xfrm>
          <a:off x="7915275" y="12203723"/>
          <a:ext cx="175626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600075</xdr:colOff>
      <xdr:row>56</xdr:row>
      <xdr:rowOff>114300</xdr:rowOff>
    </xdr:from>
    <xdr:to>
      <xdr:col>3</xdr:col>
      <xdr:colOff>600808</xdr:colOff>
      <xdr:row>56</xdr:row>
      <xdr:rowOff>114300</xdr:rowOff>
    </xdr:to>
    <xdr:cxnSp macro="">
      <xdr:nvCxnSpPr>
        <xdr:cNvPr id="205" name="Straight Arrow Connector 204">
          <a:extLst>
            <a:ext uri="{FF2B5EF4-FFF2-40B4-BE49-F238E27FC236}">
              <a16:creationId xmlns:a16="http://schemas.microsoft.com/office/drawing/2014/main" id="{00000000-0008-0000-0000-0000CD000000}"/>
            </a:ext>
          </a:extLst>
        </xdr:cNvPr>
        <xdr:cNvCxnSpPr/>
      </xdr:nvCxnSpPr>
      <xdr:spPr>
        <a:xfrm flipH="1">
          <a:off x="1208210" y="12035204"/>
          <a:ext cx="1217002"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259193</xdr:colOff>
      <xdr:row>51</xdr:row>
      <xdr:rowOff>33130</xdr:rowOff>
    </xdr:from>
    <xdr:to>
      <xdr:col>0</xdr:col>
      <xdr:colOff>259193</xdr:colOff>
      <xdr:row>55</xdr:row>
      <xdr:rowOff>66675</xdr:rowOff>
    </xdr:to>
    <xdr:cxnSp macro="">
      <xdr:nvCxnSpPr>
        <xdr:cNvPr id="206" name="Straight Arrow Connector 205">
          <a:extLst>
            <a:ext uri="{FF2B5EF4-FFF2-40B4-BE49-F238E27FC236}">
              <a16:creationId xmlns:a16="http://schemas.microsoft.com/office/drawing/2014/main" id="{00000000-0008-0000-0000-0000CE000000}"/>
            </a:ext>
          </a:extLst>
        </xdr:cNvPr>
        <xdr:cNvCxnSpPr/>
      </xdr:nvCxnSpPr>
      <xdr:spPr>
        <a:xfrm>
          <a:off x="259193" y="10725978"/>
          <a:ext cx="0" cy="861806"/>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247652</xdr:colOff>
      <xdr:row>55</xdr:row>
      <xdr:rowOff>66675</xdr:rowOff>
    </xdr:from>
    <xdr:to>
      <xdr:col>5</xdr:col>
      <xdr:colOff>402981</xdr:colOff>
      <xdr:row>55</xdr:row>
      <xdr:rowOff>66675</xdr:rowOff>
    </xdr:to>
    <xdr:cxnSp macro="">
      <xdr:nvCxnSpPr>
        <xdr:cNvPr id="207" name="Straight Arrow Connector 206">
          <a:extLst>
            <a:ext uri="{FF2B5EF4-FFF2-40B4-BE49-F238E27FC236}">
              <a16:creationId xmlns:a16="http://schemas.microsoft.com/office/drawing/2014/main" id="{00000000-0008-0000-0000-0000CF000000}"/>
            </a:ext>
          </a:extLst>
        </xdr:cNvPr>
        <xdr:cNvCxnSpPr/>
      </xdr:nvCxnSpPr>
      <xdr:spPr>
        <a:xfrm flipH="1">
          <a:off x="247652" y="11775098"/>
          <a:ext cx="3196002" cy="0"/>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398586</xdr:colOff>
      <xdr:row>55</xdr:row>
      <xdr:rowOff>65942</xdr:rowOff>
    </xdr:from>
    <xdr:to>
      <xdr:col>5</xdr:col>
      <xdr:colOff>398586</xdr:colOff>
      <xdr:row>56</xdr:row>
      <xdr:rowOff>36634</xdr:rowOff>
    </xdr:to>
    <xdr:cxnSp macro="">
      <xdr:nvCxnSpPr>
        <xdr:cNvPr id="208" name="Straight Arrow Connector 207">
          <a:extLst>
            <a:ext uri="{FF2B5EF4-FFF2-40B4-BE49-F238E27FC236}">
              <a16:creationId xmlns:a16="http://schemas.microsoft.com/office/drawing/2014/main" id="{00000000-0008-0000-0000-0000D0000000}"/>
            </a:ext>
          </a:extLst>
        </xdr:cNvPr>
        <xdr:cNvCxnSpPr/>
      </xdr:nvCxnSpPr>
      <xdr:spPr>
        <a:xfrm>
          <a:off x="3439259" y="11774365"/>
          <a:ext cx="0" cy="183173"/>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600075</xdr:colOff>
      <xdr:row>51</xdr:row>
      <xdr:rowOff>0</xdr:rowOff>
    </xdr:from>
    <xdr:to>
      <xdr:col>5</xdr:col>
      <xdr:colOff>27740</xdr:colOff>
      <xdr:row>51</xdr:row>
      <xdr:rowOff>0</xdr:rowOff>
    </xdr:to>
    <xdr:cxnSp macro="">
      <xdr:nvCxnSpPr>
        <xdr:cNvPr id="211" name="Straight Arrow Connector 210">
          <a:extLst>
            <a:ext uri="{FF2B5EF4-FFF2-40B4-BE49-F238E27FC236}">
              <a16:creationId xmlns:a16="http://schemas.microsoft.com/office/drawing/2014/main" id="{00000000-0008-0000-0000-0000D3000000}"/>
            </a:ext>
          </a:extLst>
        </xdr:cNvPr>
        <xdr:cNvCxnSpPr/>
      </xdr:nvCxnSpPr>
      <xdr:spPr>
        <a:xfrm flipH="1">
          <a:off x="2428875" y="10506075"/>
          <a:ext cx="64686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51</xdr:row>
      <xdr:rowOff>0</xdr:rowOff>
    </xdr:from>
    <xdr:to>
      <xdr:col>5</xdr:col>
      <xdr:colOff>603504</xdr:colOff>
      <xdr:row>52</xdr:row>
      <xdr:rowOff>38100</xdr:rowOff>
    </xdr:to>
    <xdr:sp macro="" textlink="">
      <xdr:nvSpPr>
        <xdr:cNvPr id="212" name="Rectangle 211">
          <a:extLst>
            <a:ext uri="{FF2B5EF4-FFF2-40B4-BE49-F238E27FC236}">
              <a16:creationId xmlns:a16="http://schemas.microsoft.com/office/drawing/2014/main" id="{00000000-0008-0000-0000-0000D4000000}"/>
            </a:ext>
          </a:extLst>
        </xdr:cNvPr>
        <xdr:cNvSpPr/>
      </xdr:nvSpPr>
      <xdr:spPr>
        <a:xfrm>
          <a:off x="3048000" y="10506075"/>
          <a:ext cx="603504" cy="238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12</xdr:col>
      <xdr:colOff>0</xdr:colOff>
      <xdr:row>63</xdr:row>
      <xdr:rowOff>153865</xdr:rowOff>
    </xdr:from>
    <xdr:to>
      <xdr:col>12</xdr:col>
      <xdr:colOff>603504</xdr:colOff>
      <xdr:row>64</xdr:row>
      <xdr:rowOff>206618</xdr:rowOff>
    </xdr:to>
    <xdr:sp macro="" textlink="">
      <xdr:nvSpPr>
        <xdr:cNvPr id="213" name="Rectangle 212">
          <a:extLst>
            <a:ext uri="{FF2B5EF4-FFF2-40B4-BE49-F238E27FC236}">
              <a16:creationId xmlns:a16="http://schemas.microsoft.com/office/drawing/2014/main" id="{00000000-0008-0000-0000-0000D5000000}"/>
            </a:ext>
          </a:extLst>
        </xdr:cNvPr>
        <xdr:cNvSpPr/>
      </xdr:nvSpPr>
      <xdr:spPr>
        <a:xfrm>
          <a:off x="7297615" y="14097000"/>
          <a:ext cx="603504" cy="2505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13</xdr:col>
      <xdr:colOff>0</xdr:colOff>
      <xdr:row>64</xdr:row>
      <xdr:rowOff>9525</xdr:rowOff>
    </xdr:from>
    <xdr:to>
      <xdr:col>15</xdr:col>
      <xdr:colOff>564173</xdr:colOff>
      <xdr:row>64</xdr:row>
      <xdr:rowOff>9525</xdr:rowOff>
    </xdr:to>
    <xdr:cxnSp macro="">
      <xdr:nvCxnSpPr>
        <xdr:cNvPr id="214" name="Straight Arrow Connector 213">
          <a:extLst>
            <a:ext uri="{FF2B5EF4-FFF2-40B4-BE49-F238E27FC236}">
              <a16:creationId xmlns:a16="http://schemas.microsoft.com/office/drawing/2014/main" id="{00000000-0008-0000-0000-0000D6000000}"/>
            </a:ext>
          </a:extLst>
        </xdr:cNvPr>
        <xdr:cNvCxnSpPr/>
      </xdr:nvCxnSpPr>
      <xdr:spPr>
        <a:xfrm>
          <a:off x="7905750" y="13959987"/>
          <a:ext cx="17804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77</xdr:row>
      <xdr:rowOff>146538</xdr:rowOff>
    </xdr:from>
    <xdr:to>
      <xdr:col>12</xdr:col>
      <xdr:colOff>603504</xdr:colOff>
      <xdr:row>78</xdr:row>
      <xdr:rowOff>208817</xdr:rowOff>
    </xdr:to>
    <xdr:sp macro="" textlink="">
      <xdr:nvSpPr>
        <xdr:cNvPr id="215" name="Rectangle 214">
          <a:extLst>
            <a:ext uri="{FF2B5EF4-FFF2-40B4-BE49-F238E27FC236}">
              <a16:creationId xmlns:a16="http://schemas.microsoft.com/office/drawing/2014/main" id="{00000000-0008-0000-0000-0000D7000000}"/>
            </a:ext>
          </a:extLst>
        </xdr:cNvPr>
        <xdr:cNvSpPr/>
      </xdr:nvSpPr>
      <xdr:spPr>
        <a:xfrm>
          <a:off x="7297615" y="16881230"/>
          <a:ext cx="603504" cy="2601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Clk En</a:t>
          </a:r>
        </a:p>
      </xdr:txBody>
    </xdr:sp>
    <xdr:clientData/>
  </xdr:twoCellAnchor>
  <xdr:twoCellAnchor>
    <xdr:from>
      <xdr:col>13</xdr:col>
      <xdr:colOff>0</xdr:colOff>
      <xdr:row>78</xdr:row>
      <xdr:rowOff>9525</xdr:rowOff>
    </xdr:from>
    <xdr:to>
      <xdr:col>15</xdr:col>
      <xdr:colOff>571500</xdr:colOff>
      <xdr:row>78</xdr:row>
      <xdr:rowOff>9525</xdr:rowOff>
    </xdr:to>
    <xdr:cxnSp macro="">
      <xdr:nvCxnSpPr>
        <xdr:cNvPr id="216" name="Straight Arrow Connector 215">
          <a:extLst>
            <a:ext uri="{FF2B5EF4-FFF2-40B4-BE49-F238E27FC236}">
              <a16:creationId xmlns:a16="http://schemas.microsoft.com/office/drawing/2014/main" id="{00000000-0008-0000-0000-0000D8000000}"/>
            </a:ext>
          </a:extLst>
        </xdr:cNvPr>
        <xdr:cNvCxnSpPr/>
      </xdr:nvCxnSpPr>
      <xdr:spPr>
        <a:xfrm>
          <a:off x="7905750" y="16751544"/>
          <a:ext cx="17877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238127</xdr:colOff>
      <xdr:row>16</xdr:row>
      <xdr:rowOff>196458</xdr:rowOff>
    </xdr:from>
    <xdr:to>
      <xdr:col>4</xdr:col>
      <xdr:colOff>326287</xdr:colOff>
      <xdr:row>26</xdr:row>
      <xdr:rowOff>27495</xdr:rowOff>
    </xdr:to>
    <xdr:cxnSp macro="">
      <xdr:nvCxnSpPr>
        <xdr:cNvPr id="223" name="Straight Arrow Connector 237">
          <a:extLst>
            <a:ext uri="{FF2B5EF4-FFF2-40B4-BE49-F238E27FC236}">
              <a16:creationId xmlns:a16="http://schemas.microsoft.com/office/drawing/2014/main" id="{00000000-0008-0000-0000-0000DF000000}"/>
            </a:ext>
          </a:extLst>
        </xdr:cNvPr>
        <xdr:cNvCxnSpPr/>
      </xdr:nvCxnSpPr>
      <xdr:spPr>
        <a:xfrm flipV="1">
          <a:off x="1457327" y="4196958"/>
          <a:ext cx="1307360" cy="1878912"/>
        </a:xfrm>
        <a:prstGeom prst="bentConnector4">
          <a:avLst>
            <a:gd name="adj1" fmla="val 37661"/>
            <a:gd name="adj2" fmla="val 110917"/>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428625</xdr:colOff>
      <xdr:row>16</xdr:row>
      <xdr:rowOff>200025</xdr:rowOff>
    </xdr:from>
    <xdr:to>
      <xdr:col>2</xdr:col>
      <xdr:colOff>221891</xdr:colOff>
      <xdr:row>20</xdr:row>
      <xdr:rowOff>182654</xdr:rowOff>
    </xdr:to>
    <xdr:sp macro="" textlink="">
      <xdr:nvSpPr>
        <xdr:cNvPr id="225" name="Rectangle 224">
          <a:hlinkClick xmlns:r="http://schemas.openxmlformats.org/officeDocument/2006/relationships" r:id="rId7"/>
          <a:extLst>
            <a:ext uri="{FF2B5EF4-FFF2-40B4-BE49-F238E27FC236}">
              <a16:creationId xmlns:a16="http://schemas.microsoft.com/office/drawing/2014/main" id="{00000000-0008-0000-0000-0000E1000000}"/>
            </a:ext>
          </a:extLst>
        </xdr:cNvPr>
        <xdr:cNvSpPr/>
      </xdr:nvSpPr>
      <xdr:spPr>
        <a:xfrm>
          <a:off x="428625" y="4200525"/>
          <a:ext cx="1012466" cy="7732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Ext. Oscillator</a:t>
          </a:r>
        </a:p>
        <a:p>
          <a:pPr algn="ctr"/>
          <a:r>
            <a:rPr lang="en-US" sz="1100"/>
            <a:t>(XOSC)</a:t>
          </a:r>
        </a:p>
        <a:p>
          <a:pPr algn="ctr"/>
          <a:r>
            <a:rPr lang="en-US" sz="900"/>
            <a:t>Click</a:t>
          </a:r>
          <a:r>
            <a:rPr lang="en-US" sz="900" baseline="0"/>
            <a:t> me for more info</a:t>
          </a:r>
          <a:endParaRPr lang="en-US" sz="900"/>
        </a:p>
      </xdr:txBody>
    </xdr:sp>
    <xdr:clientData/>
  </xdr:twoCellAnchor>
  <xdr:twoCellAnchor>
    <xdr:from>
      <xdr:col>13</xdr:col>
      <xdr:colOff>576263</xdr:colOff>
      <xdr:row>13</xdr:row>
      <xdr:rowOff>116681</xdr:rowOff>
    </xdr:from>
    <xdr:to>
      <xdr:col>15</xdr:col>
      <xdr:colOff>22862</xdr:colOff>
      <xdr:row>14</xdr:row>
      <xdr:rowOff>189346</xdr:rowOff>
    </xdr:to>
    <xdr:sp macro="" textlink="">
      <xdr:nvSpPr>
        <xdr:cNvPr id="209" name="Rectangle 208">
          <a:extLst>
            <a:ext uri="{FF2B5EF4-FFF2-40B4-BE49-F238E27FC236}">
              <a16:creationId xmlns:a16="http://schemas.microsoft.com/office/drawing/2014/main" id="{00000000-0008-0000-0000-0000D1000000}"/>
            </a:ext>
          </a:extLst>
        </xdr:cNvPr>
        <xdr:cNvSpPr/>
      </xdr:nvSpPr>
      <xdr:spPr>
        <a:xfrm>
          <a:off x="8470107" y="3492103"/>
          <a:ext cx="661036" cy="281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/(1+(0..63))</a:t>
          </a:r>
          <a:endParaRPr lang="en-US" sz="750"/>
        </a:p>
      </xdr:txBody>
    </xdr:sp>
    <xdr:clientData/>
  </xdr:twoCellAnchor>
  <xdr:twoCellAnchor>
    <xdr:from>
      <xdr:col>16</xdr:col>
      <xdr:colOff>571501</xdr:colOff>
      <xdr:row>19</xdr:row>
      <xdr:rowOff>102576</xdr:rowOff>
    </xdr:from>
    <xdr:to>
      <xdr:col>18</xdr:col>
      <xdr:colOff>18100</xdr:colOff>
      <xdr:row>20</xdr:row>
      <xdr:rowOff>189894</xdr:rowOff>
    </xdr:to>
    <xdr:sp macro="" textlink="">
      <xdr:nvSpPr>
        <xdr:cNvPr id="210" name="Rectangle 209">
          <a:extLst>
            <a:ext uri="{FF2B5EF4-FFF2-40B4-BE49-F238E27FC236}">
              <a16:creationId xmlns:a16="http://schemas.microsoft.com/office/drawing/2014/main" id="{00000000-0008-0000-0000-0000D2000000}"/>
            </a:ext>
          </a:extLst>
        </xdr:cNvPr>
        <xdr:cNvSpPr/>
      </xdr:nvSpPr>
      <xdr:spPr>
        <a:xfrm>
          <a:off x="10301655" y="4711211"/>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/(1+(0..15))</a:t>
          </a:r>
          <a:endParaRPr lang="en-US" sz="750"/>
        </a:p>
      </xdr:txBody>
    </xdr:sp>
    <xdr:clientData/>
  </xdr:twoCellAnchor>
  <xdr:twoCellAnchor>
    <xdr:from>
      <xdr:col>16</xdr:col>
      <xdr:colOff>586153</xdr:colOff>
      <xdr:row>22</xdr:row>
      <xdr:rowOff>124557</xdr:rowOff>
    </xdr:from>
    <xdr:to>
      <xdr:col>18</xdr:col>
      <xdr:colOff>32752</xdr:colOff>
      <xdr:row>23</xdr:row>
      <xdr:rowOff>197221</xdr:rowOff>
    </xdr:to>
    <xdr:sp macro="" textlink="">
      <xdr:nvSpPr>
        <xdr:cNvPr id="217" name="Rectangle 216">
          <a:extLst>
            <a:ext uri="{FF2B5EF4-FFF2-40B4-BE49-F238E27FC236}">
              <a16:creationId xmlns:a16="http://schemas.microsoft.com/office/drawing/2014/main" id="{00000000-0008-0000-0000-0000D9000000}"/>
            </a:ext>
          </a:extLst>
        </xdr:cNvPr>
        <xdr:cNvSpPr/>
      </xdr:nvSpPr>
      <xdr:spPr>
        <a:xfrm>
          <a:off x="10316307" y="5355980"/>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16</xdr:col>
      <xdr:colOff>578827</xdr:colOff>
      <xdr:row>25</xdr:row>
      <xdr:rowOff>117231</xdr:rowOff>
    </xdr:from>
    <xdr:to>
      <xdr:col>18</xdr:col>
      <xdr:colOff>25426</xdr:colOff>
      <xdr:row>26</xdr:row>
      <xdr:rowOff>189895</xdr:rowOff>
    </xdr:to>
    <xdr:sp macro="" textlink="">
      <xdr:nvSpPr>
        <xdr:cNvPr id="218" name="Rectangle 217">
          <a:extLst>
            <a:ext uri="{FF2B5EF4-FFF2-40B4-BE49-F238E27FC236}">
              <a16:creationId xmlns:a16="http://schemas.microsoft.com/office/drawing/2014/main" id="{00000000-0008-0000-0000-0000DA000000}"/>
            </a:ext>
          </a:extLst>
        </xdr:cNvPr>
        <xdr:cNvSpPr/>
      </xdr:nvSpPr>
      <xdr:spPr>
        <a:xfrm>
          <a:off x="10308981" y="5986096"/>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16</xdr:col>
      <xdr:colOff>564172</xdr:colOff>
      <xdr:row>31</xdr:row>
      <xdr:rowOff>117230</xdr:rowOff>
    </xdr:from>
    <xdr:to>
      <xdr:col>18</xdr:col>
      <xdr:colOff>58615</xdr:colOff>
      <xdr:row>32</xdr:row>
      <xdr:rowOff>204548</xdr:rowOff>
    </xdr:to>
    <xdr:sp macro="" textlink="">
      <xdr:nvSpPr>
        <xdr:cNvPr id="221" name="Rectangle 220">
          <a:extLst>
            <a:ext uri="{FF2B5EF4-FFF2-40B4-BE49-F238E27FC236}">
              <a16:creationId xmlns:a16="http://schemas.microsoft.com/office/drawing/2014/main" id="{00000000-0008-0000-0000-0000DD000000}"/>
            </a:ext>
          </a:extLst>
        </xdr:cNvPr>
        <xdr:cNvSpPr/>
      </xdr:nvSpPr>
      <xdr:spPr>
        <a:xfrm>
          <a:off x="10294326" y="7224345"/>
          <a:ext cx="710712"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/(1+(0..127))</a:t>
          </a:r>
          <a:endParaRPr lang="en-US" sz="750"/>
        </a:p>
      </xdr:txBody>
    </xdr:sp>
    <xdr:clientData/>
  </xdr:twoCellAnchor>
  <xdr:twoCellAnchor>
    <xdr:from>
      <xdr:col>16</xdr:col>
      <xdr:colOff>578827</xdr:colOff>
      <xdr:row>40</xdr:row>
      <xdr:rowOff>102577</xdr:rowOff>
    </xdr:from>
    <xdr:to>
      <xdr:col>18</xdr:col>
      <xdr:colOff>25426</xdr:colOff>
      <xdr:row>41</xdr:row>
      <xdr:rowOff>189895</xdr:rowOff>
    </xdr:to>
    <xdr:sp macro="" textlink="">
      <xdr:nvSpPr>
        <xdr:cNvPr id="222" name="Rectangle 221">
          <a:extLst>
            <a:ext uri="{FF2B5EF4-FFF2-40B4-BE49-F238E27FC236}">
              <a16:creationId xmlns:a16="http://schemas.microsoft.com/office/drawing/2014/main" id="{00000000-0008-0000-0000-0000DE000000}"/>
            </a:ext>
          </a:extLst>
        </xdr:cNvPr>
        <xdr:cNvSpPr/>
      </xdr:nvSpPr>
      <xdr:spPr>
        <a:xfrm>
          <a:off x="10308981" y="9019442"/>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15</xdr:col>
      <xdr:colOff>586154</xdr:colOff>
      <xdr:row>51</xdr:row>
      <xdr:rowOff>117230</xdr:rowOff>
    </xdr:from>
    <xdr:to>
      <xdr:col>17</xdr:col>
      <xdr:colOff>32753</xdr:colOff>
      <xdr:row>52</xdr:row>
      <xdr:rowOff>189894</xdr:rowOff>
    </xdr:to>
    <xdr:sp macro="" textlink="">
      <xdr:nvSpPr>
        <xdr:cNvPr id="224" name="Rectangle 223">
          <a:extLst>
            <a:ext uri="{FF2B5EF4-FFF2-40B4-BE49-F238E27FC236}">
              <a16:creationId xmlns:a16="http://schemas.microsoft.com/office/drawing/2014/main" id="{00000000-0008-0000-0000-0000E0000000}"/>
            </a:ext>
          </a:extLst>
        </xdr:cNvPr>
        <xdr:cNvSpPr/>
      </xdr:nvSpPr>
      <xdr:spPr>
        <a:xfrm>
          <a:off x="9708173" y="11261480"/>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15</xdr:col>
      <xdr:colOff>578827</xdr:colOff>
      <xdr:row>54</xdr:row>
      <xdr:rowOff>117232</xdr:rowOff>
    </xdr:from>
    <xdr:to>
      <xdr:col>17</xdr:col>
      <xdr:colOff>25426</xdr:colOff>
      <xdr:row>55</xdr:row>
      <xdr:rowOff>189896</xdr:rowOff>
    </xdr:to>
    <xdr:sp macro="" textlink="">
      <xdr:nvSpPr>
        <xdr:cNvPr id="226" name="Rectangle 225">
          <a:extLst>
            <a:ext uri="{FF2B5EF4-FFF2-40B4-BE49-F238E27FC236}">
              <a16:creationId xmlns:a16="http://schemas.microsoft.com/office/drawing/2014/main" id="{00000000-0008-0000-0000-0000E2000000}"/>
            </a:ext>
          </a:extLst>
        </xdr:cNvPr>
        <xdr:cNvSpPr/>
      </xdr:nvSpPr>
      <xdr:spPr>
        <a:xfrm>
          <a:off x="9700846" y="12089424"/>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/(1+(0..63))</a:t>
          </a:r>
          <a:endParaRPr lang="en-US" sz="750"/>
        </a:p>
      </xdr:txBody>
    </xdr:sp>
    <xdr:clientData/>
  </xdr:twoCellAnchor>
  <xdr:twoCellAnchor>
    <xdr:from>
      <xdr:col>15</xdr:col>
      <xdr:colOff>586154</xdr:colOff>
      <xdr:row>77</xdr:row>
      <xdr:rowOff>117231</xdr:rowOff>
    </xdr:from>
    <xdr:to>
      <xdr:col>17</xdr:col>
      <xdr:colOff>32753</xdr:colOff>
      <xdr:row>78</xdr:row>
      <xdr:rowOff>204549</xdr:rowOff>
    </xdr:to>
    <xdr:sp macro="" textlink="">
      <xdr:nvSpPr>
        <xdr:cNvPr id="227" name="Rectangle 226">
          <a:extLst>
            <a:ext uri="{FF2B5EF4-FFF2-40B4-BE49-F238E27FC236}">
              <a16:creationId xmlns:a16="http://schemas.microsoft.com/office/drawing/2014/main" id="{00000000-0008-0000-0000-0000E3000000}"/>
            </a:ext>
          </a:extLst>
        </xdr:cNvPr>
        <xdr:cNvSpPr/>
      </xdr:nvSpPr>
      <xdr:spPr>
        <a:xfrm>
          <a:off x="9708173" y="16661423"/>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/(1+(0..15))</a:t>
          </a:r>
          <a:endParaRPr lang="en-US" sz="750"/>
        </a:p>
      </xdr:txBody>
    </xdr:sp>
    <xdr:clientData/>
  </xdr:twoCellAnchor>
  <xdr:twoCellAnchor>
    <xdr:from>
      <xdr:col>15</xdr:col>
      <xdr:colOff>571500</xdr:colOff>
      <xdr:row>63</xdr:row>
      <xdr:rowOff>109904</xdr:rowOff>
    </xdr:from>
    <xdr:to>
      <xdr:col>17</xdr:col>
      <xdr:colOff>18099</xdr:colOff>
      <xdr:row>64</xdr:row>
      <xdr:rowOff>197222</xdr:rowOff>
    </xdr:to>
    <xdr:sp macro="" textlink="">
      <xdr:nvSpPr>
        <xdr:cNvPr id="228" name="Rectangle 227">
          <a:extLst>
            <a:ext uri="{FF2B5EF4-FFF2-40B4-BE49-F238E27FC236}">
              <a16:creationId xmlns:a16="http://schemas.microsoft.com/office/drawing/2014/main" id="{00000000-0008-0000-0000-0000E4000000}"/>
            </a:ext>
          </a:extLst>
        </xdr:cNvPr>
        <xdr:cNvSpPr/>
      </xdr:nvSpPr>
      <xdr:spPr>
        <a:xfrm>
          <a:off x="9693519" y="13862539"/>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/(1+(0..15))</a:t>
          </a:r>
          <a:endParaRPr lang="en-US" sz="750"/>
        </a:p>
      </xdr:txBody>
    </xdr:sp>
    <xdr:clientData/>
  </xdr:twoCellAnchor>
  <xdr:twoCellAnchor>
    <xdr:from>
      <xdr:col>2</xdr:col>
      <xdr:colOff>586154</xdr:colOff>
      <xdr:row>50</xdr:row>
      <xdr:rowOff>117231</xdr:rowOff>
    </xdr:from>
    <xdr:to>
      <xdr:col>4</xdr:col>
      <xdr:colOff>32753</xdr:colOff>
      <xdr:row>51</xdr:row>
      <xdr:rowOff>204549</xdr:rowOff>
    </xdr:to>
    <xdr:sp macro="" textlink="">
      <xdr:nvSpPr>
        <xdr:cNvPr id="229" name="Rectangle 228">
          <a:extLst>
            <a:ext uri="{FF2B5EF4-FFF2-40B4-BE49-F238E27FC236}">
              <a16:creationId xmlns:a16="http://schemas.microsoft.com/office/drawing/2014/main" id="{00000000-0008-0000-0000-0000E5000000}"/>
            </a:ext>
          </a:extLst>
        </xdr:cNvPr>
        <xdr:cNvSpPr/>
      </xdr:nvSpPr>
      <xdr:spPr>
        <a:xfrm>
          <a:off x="1802423" y="11254154"/>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/(1+(0..15))</a:t>
          </a:r>
          <a:endParaRPr lang="en-US" sz="750"/>
        </a:p>
      </xdr:txBody>
    </xdr:sp>
    <xdr:clientData/>
  </xdr:twoCellAnchor>
  <mc:AlternateContent xmlns:mc="http://schemas.openxmlformats.org/markup-compatibility/2006">
    <mc:Choice xmlns:a14="http://schemas.microsoft.com/office/drawing/2010/main" Requires="a14">
      <xdr:twoCellAnchor>
        <xdr:from>
          <xdr:col>0</xdr:col>
          <xdr:colOff>571500</xdr:colOff>
          <xdr:row>2</xdr:row>
          <xdr:rowOff>160020</xdr:rowOff>
        </xdr:from>
        <xdr:to>
          <xdr:col>2</xdr:col>
          <xdr:colOff>464820</xdr:colOff>
          <xdr:row>4</xdr:row>
          <xdr:rowOff>7620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563880</xdr:colOff>
          <xdr:row>4</xdr:row>
          <xdr:rowOff>182880</xdr:rowOff>
        </xdr:from>
        <xdr:to>
          <xdr:col>2</xdr:col>
          <xdr:colOff>441960</xdr:colOff>
          <xdr:row>6</xdr:row>
          <xdr:rowOff>68580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Max</a:t>
              </a:r>
            </a:p>
          </xdr:txBody>
        </xdr:sp>
        <xdr:clientData fPrintsWithSheet="0"/>
      </xdr:twoCellAnchor>
    </mc:Choice>
    <mc:Fallback/>
  </mc:AlternateContent>
  <xdr:twoCellAnchor>
    <xdr:from>
      <xdr:col>5</xdr:col>
      <xdr:colOff>29310</xdr:colOff>
      <xdr:row>56</xdr:row>
      <xdr:rowOff>31145</xdr:rowOff>
    </xdr:from>
    <xdr:to>
      <xdr:col>5</xdr:col>
      <xdr:colOff>385135</xdr:colOff>
      <xdr:row>56</xdr:row>
      <xdr:rowOff>31145</xdr:rowOff>
    </xdr:to>
    <xdr:cxnSp macro="">
      <xdr:nvCxnSpPr>
        <xdr:cNvPr id="230" name="Straight Arrow Connector 229">
          <a:extLst>
            <a:ext uri="{FF2B5EF4-FFF2-40B4-BE49-F238E27FC236}">
              <a16:creationId xmlns:a16="http://schemas.microsoft.com/office/drawing/2014/main" id="{00000000-0008-0000-0000-0000E6000000}"/>
            </a:ext>
          </a:extLst>
        </xdr:cNvPr>
        <xdr:cNvCxnSpPr/>
      </xdr:nvCxnSpPr>
      <xdr:spPr>
        <a:xfrm flipH="1">
          <a:off x="3069983" y="11952049"/>
          <a:ext cx="35582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608133</xdr:colOff>
      <xdr:row>55</xdr:row>
      <xdr:rowOff>139212</xdr:rowOff>
    </xdr:from>
    <xdr:to>
      <xdr:col>4</xdr:col>
      <xdr:colOff>605502</xdr:colOff>
      <xdr:row>58</xdr:row>
      <xdr:rowOff>167220</xdr:rowOff>
    </xdr:to>
    <xdr:sp macro="" textlink="">
      <xdr:nvSpPr>
        <xdr:cNvPr id="231" name="Rectangle 230">
          <a:extLst>
            <a:ext uri="{FF2B5EF4-FFF2-40B4-BE49-F238E27FC236}">
              <a16:creationId xmlns:a16="http://schemas.microsoft.com/office/drawing/2014/main" id="{00000000-0008-0000-0000-0000E7000000}"/>
            </a:ext>
          </a:extLst>
        </xdr:cNvPr>
        <xdr:cNvSpPr/>
      </xdr:nvSpPr>
      <xdr:spPr>
        <a:xfrm>
          <a:off x="2432537" y="11847635"/>
          <a:ext cx="605503" cy="6434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CGL</a:t>
          </a:r>
        </a:p>
      </xdr:txBody>
    </xdr:sp>
    <xdr:clientData/>
  </xdr:twoCellAnchor>
  <xdr:oneCellAnchor>
    <xdr:from>
      <xdr:col>3</xdr:col>
      <xdr:colOff>586153</xdr:colOff>
      <xdr:row>60</xdr:row>
      <xdr:rowOff>0</xdr:rowOff>
    </xdr:from>
    <xdr:ext cx="989135" cy="366346"/>
    <xdr:sp macro="" textlink="">
      <xdr:nvSpPr>
        <xdr:cNvPr id="232" name="TextBox 231">
          <a:extLst>
            <a:ext uri="{FF2B5EF4-FFF2-40B4-BE49-F238E27FC236}">
              <a16:creationId xmlns:a16="http://schemas.microsoft.com/office/drawing/2014/main" id="{00000000-0008-0000-0000-0000E8000000}"/>
            </a:ext>
          </a:extLst>
        </xdr:cNvPr>
        <xdr:cNvSpPr txBox="1"/>
      </xdr:nvSpPr>
      <xdr:spPr>
        <a:xfrm>
          <a:off x="2410557" y="12734192"/>
          <a:ext cx="989135" cy="366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XOSC</a:t>
          </a:r>
        </a:p>
        <a:p>
          <a:r>
            <a:rPr lang="en-US" sz="800"/>
            <a:t>1 - CAN_PLL_CLK</a:t>
          </a:r>
          <a:endParaRPr lang="en-US" sz="800" baseline="0"/>
        </a:p>
      </xdr:txBody>
    </xdr:sp>
    <xdr:clientData/>
  </xdr:oneCellAnchor>
  <xdr:twoCellAnchor>
    <xdr:from>
      <xdr:col>17</xdr:col>
      <xdr:colOff>43961</xdr:colOff>
      <xdr:row>52</xdr:row>
      <xdr:rowOff>29308</xdr:rowOff>
    </xdr:from>
    <xdr:to>
      <xdr:col>19</xdr:col>
      <xdr:colOff>578827</xdr:colOff>
      <xdr:row>52</xdr:row>
      <xdr:rowOff>29308</xdr:rowOff>
    </xdr:to>
    <xdr:cxnSp macro="">
      <xdr:nvCxnSpPr>
        <xdr:cNvPr id="233" name="Straight Arrow Connector 232">
          <a:extLst>
            <a:ext uri="{FF2B5EF4-FFF2-40B4-BE49-F238E27FC236}">
              <a16:creationId xmlns:a16="http://schemas.microsoft.com/office/drawing/2014/main" id="{00000000-0008-0000-0000-0000E9000000}"/>
            </a:ext>
          </a:extLst>
        </xdr:cNvPr>
        <xdr:cNvCxnSpPr/>
      </xdr:nvCxnSpPr>
      <xdr:spPr>
        <a:xfrm>
          <a:off x="10382249" y="10961077"/>
          <a:ext cx="175113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586153</xdr:colOff>
      <xdr:row>51</xdr:row>
      <xdr:rowOff>146539</xdr:rowOff>
    </xdr:from>
    <xdr:to>
      <xdr:col>21</xdr:col>
      <xdr:colOff>32752</xdr:colOff>
      <xdr:row>53</xdr:row>
      <xdr:rowOff>6722</xdr:rowOff>
    </xdr:to>
    <xdr:sp macro="" textlink="">
      <xdr:nvSpPr>
        <xdr:cNvPr id="234" name="Rectangle 233">
          <a:extLst>
            <a:ext uri="{FF2B5EF4-FFF2-40B4-BE49-F238E27FC236}">
              <a16:creationId xmlns:a16="http://schemas.microsoft.com/office/drawing/2014/main" id="{00000000-0008-0000-0000-0000EA000000}"/>
            </a:ext>
          </a:extLst>
        </xdr:cNvPr>
        <xdr:cNvSpPr/>
      </xdr:nvSpPr>
      <xdr:spPr>
        <a:xfrm>
          <a:off x="12140711" y="10865827"/>
          <a:ext cx="662868" cy="285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/2</a:t>
          </a:r>
          <a:endParaRPr lang="en-US" sz="750"/>
        </a:p>
      </xdr:txBody>
    </xdr:sp>
    <xdr:clientData/>
  </xdr:twoCellAnchor>
  <xdr:twoCellAnchor>
    <xdr:from>
      <xdr:col>21</xdr:col>
      <xdr:colOff>36635</xdr:colOff>
      <xdr:row>52</xdr:row>
      <xdr:rowOff>29308</xdr:rowOff>
    </xdr:from>
    <xdr:to>
      <xdr:col>23</xdr:col>
      <xdr:colOff>373673</xdr:colOff>
      <xdr:row>52</xdr:row>
      <xdr:rowOff>29308</xdr:rowOff>
    </xdr:to>
    <xdr:cxnSp macro="">
      <xdr:nvCxnSpPr>
        <xdr:cNvPr id="235" name="Straight Arrow Connector 234">
          <a:extLst>
            <a:ext uri="{FF2B5EF4-FFF2-40B4-BE49-F238E27FC236}">
              <a16:creationId xmlns:a16="http://schemas.microsoft.com/office/drawing/2014/main" id="{00000000-0008-0000-0000-0000EB000000}"/>
            </a:ext>
          </a:extLst>
        </xdr:cNvPr>
        <xdr:cNvCxnSpPr/>
      </xdr:nvCxnSpPr>
      <xdr:spPr>
        <a:xfrm>
          <a:off x="12807462" y="10983058"/>
          <a:ext cx="164123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23</xdr:col>
      <xdr:colOff>578828</xdr:colOff>
      <xdr:row>52</xdr:row>
      <xdr:rowOff>205154</xdr:rowOff>
    </xdr:from>
    <xdr:ext cx="989135" cy="366346"/>
    <xdr:sp macro="" textlink="">
      <xdr:nvSpPr>
        <xdr:cNvPr id="238" name="TextBox 237">
          <a:extLst>
            <a:ext uri="{FF2B5EF4-FFF2-40B4-BE49-F238E27FC236}">
              <a16:creationId xmlns:a16="http://schemas.microsoft.com/office/drawing/2014/main" id="{00000000-0008-0000-0000-0000EE000000}"/>
            </a:ext>
          </a:extLst>
        </xdr:cNvPr>
        <xdr:cNvSpPr txBox="1"/>
      </xdr:nvSpPr>
      <xdr:spPr>
        <a:xfrm>
          <a:off x="14653847" y="11158904"/>
          <a:ext cx="989135" cy="366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XOSC</a:t>
          </a:r>
        </a:p>
        <a:p>
          <a:r>
            <a:rPr lang="en-US" sz="800"/>
            <a:t>1 - FRAY_PLL_CLK</a:t>
          </a:r>
          <a:endParaRPr lang="en-US" sz="800" baseline="0"/>
        </a:p>
      </xdr:txBody>
    </xdr:sp>
    <xdr:clientData/>
  </xdr:oneCellAnchor>
  <xdr:oneCellAnchor>
    <xdr:from>
      <xdr:col>21</xdr:col>
      <xdr:colOff>446943</xdr:colOff>
      <xdr:row>49</xdr:row>
      <xdr:rowOff>146537</xdr:rowOff>
    </xdr:from>
    <xdr:ext cx="981941" cy="257176"/>
    <xdr:sp macro="" textlink="">
      <xdr:nvSpPr>
        <xdr:cNvPr id="240" name="TextBox 239">
          <a:extLst>
            <a:ext uri="{FF2B5EF4-FFF2-40B4-BE49-F238E27FC236}">
              <a16:creationId xmlns:a16="http://schemas.microsoft.com/office/drawing/2014/main" id="{00000000-0008-0000-0000-0000F0000000}"/>
            </a:ext>
          </a:extLst>
        </xdr:cNvPr>
        <xdr:cNvSpPr txBox="1"/>
      </xdr:nvSpPr>
      <xdr:spPr>
        <a:xfrm>
          <a:off x="13217770" y="10477499"/>
          <a:ext cx="98194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FRAY_PLL_CLK</a:t>
          </a:r>
        </a:p>
      </xdr:txBody>
    </xdr:sp>
    <xdr:clientData/>
  </xdr:oneCellAnchor>
  <xdr:twoCellAnchor>
    <xdr:from>
      <xdr:col>17</xdr:col>
      <xdr:colOff>468924</xdr:colOff>
      <xdr:row>9</xdr:row>
      <xdr:rowOff>73269</xdr:rowOff>
    </xdr:from>
    <xdr:to>
      <xdr:col>25</xdr:col>
      <xdr:colOff>600807</xdr:colOff>
      <xdr:row>9</xdr:row>
      <xdr:rowOff>73269</xdr:rowOff>
    </xdr:to>
    <xdr:cxnSp macro="">
      <xdr:nvCxnSpPr>
        <xdr:cNvPr id="241" name="Straight Arrow Connector 240">
          <a:extLst>
            <a:ext uri="{FF2B5EF4-FFF2-40B4-BE49-F238E27FC236}">
              <a16:creationId xmlns:a16="http://schemas.microsoft.com/office/drawing/2014/main" id="{00000000-0008-0000-0000-0000F1000000}"/>
            </a:ext>
          </a:extLst>
        </xdr:cNvPr>
        <xdr:cNvCxnSpPr/>
      </xdr:nvCxnSpPr>
      <xdr:spPr>
        <a:xfrm>
          <a:off x="10807212" y="2183423"/>
          <a:ext cx="5062903"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19050</xdr:colOff>
      <xdr:row>1</xdr:row>
      <xdr:rowOff>123825</xdr:rowOff>
    </xdr:from>
    <xdr:ext cx="4840942" cy="895348"/>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847850" y="314325"/>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MPC574xP Oscillator Control</a:t>
          </a:r>
        </a:p>
      </xdr:txBody>
    </xdr:sp>
    <xdr:clientData/>
  </xdr:oneCellAnchor>
  <xdr:oneCellAnchor>
    <xdr:from>
      <xdr:col>1</xdr:col>
      <xdr:colOff>57150</xdr:colOff>
      <xdr:row>8</xdr:row>
      <xdr:rowOff>190500</xdr:rowOff>
    </xdr:from>
    <xdr:ext cx="600075" cy="257176"/>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66750" y="1714500"/>
          <a:ext cx="6000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r"/>
          <a:r>
            <a:rPr lang="en-US" sz="1000" b="1"/>
            <a:t>EXTAL</a:t>
          </a:r>
        </a:p>
      </xdr:txBody>
    </xdr:sp>
    <xdr:clientData/>
  </xdr:oneCellAnchor>
  <xdr:twoCellAnchor>
    <xdr:from>
      <xdr:col>1</xdr:col>
      <xdr:colOff>419100</xdr:colOff>
      <xdr:row>14</xdr:row>
      <xdr:rowOff>154371</xdr:rowOff>
    </xdr:from>
    <xdr:to>
      <xdr:col>3</xdr:col>
      <xdr:colOff>214993</xdr:colOff>
      <xdr:row>19</xdr:row>
      <xdr:rowOff>7919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1028700" y="2859471"/>
          <a:ext cx="1015093" cy="8060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8-44 MHz</a:t>
          </a:r>
        </a:p>
        <a:p>
          <a:pPr algn="ctr"/>
          <a:r>
            <a:rPr lang="en-US" sz="1100"/>
            <a:t>Ext. Oscillator</a:t>
          </a:r>
        </a:p>
        <a:p>
          <a:pPr algn="ctr"/>
          <a:r>
            <a:rPr lang="en-US" sz="1100"/>
            <a:t>(XTAL)</a:t>
          </a:r>
        </a:p>
      </xdr:txBody>
    </xdr:sp>
    <xdr:clientData/>
  </xdr:twoCellAnchor>
  <xdr:twoCellAnchor>
    <xdr:from>
      <xdr:col>6</xdr:col>
      <xdr:colOff>511394</xdr:colOff>
      <xdr:row>14</xdr:row>
      <xdr:rowOff>68646</xdr:rowOff>
    </xdr:from>
    <xdr:to>
      <xdr:col>8</xdr:col>
      <xdr:colOff>416472</xdr:colOff>
      <xdr:row>14</xdr:row>
      <xdr:rowOff>68646</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a:off x="4168994" y="2773746"/>
          <a:ext cx="1124278" cy="0"/>
        </a:xfrm>
        <a:prstGeom prst="straightConnector1">
          <a:avLst/>
        </a:prstGeom>
        <a:ln w="19050">
          <a:solidFill>
            <a:schemeClr val="accent1">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231227</xdr:colOff>
      <xdr:row>17</xdr:row>
      <xdr:rowOff>25290</xdr:rowOff>
    </xdr:from>
    <xdr:to>
      <xdr:col>6</xdr:col>
      <xdr:colOff>511394</xdr:colOff>
      <xdr:row>17</xdr:row>
      <xdr:rowOff>25290</xdr:rowOff>
    </xdr:to>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2060027" y="3301890"/>
          <a:ext cx="2108967" cy="0"/>
        </a:xfrm>
        <a:prstGeom prst="straightConnector1">
          <a:avLst/>
        </a:prstGeom>
        <a:ln w="19050">
          <a:solidFill>
            <a:schemeClr val="accent1">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520919</xdr:colOff>
      <xdr:row>14</xdr:row>
      <xdr:rowOff>68646</xdr:rowOff>
    </xdr:from>
    <xdr:to>
      <xdr:col>6</xdr:col>
      <xdr:colOff>520919</xdr:colOff>
      <xdr:row>17</xdr:row>
      <xdr:rowOff>44340</xdr:rowOff>
    </xdr:to>
    <xdr:cxnSp macro="">
      <xdr:nvCxnSpPr>
        <xdr:cNvPr id="7" name="Straight Arrow Connector 6">
          <a:extLst>
            <a:ext uri="{FF2B5EF4-FFF2-40B4-BE49-F238E27FC236}">
              <a16:creationId xmlns:a16="http://schemas.microsoft.com/office/drawing/2014/main" id="{00000000-0008-0000-0100-000007000000}"/>
            </a:ext>
          </a:extLst>
        </xdr:cNvPr>
        <xdr:cNvCxnSpPr/>
      </xdr:nvCxnSpPr>
      <xdr:spPr>
        <a:xfrm flipV="1">
          <a:off x="4178519" y="2773746"/>
          <a:ext cx="0" cy="547194"/>
        </a:xfrm>
        <a:prstGeom prst="straightConnector1">
          <a:avLst/>
        </a:prstGeom>
        <a:ln w="19050">
          <a:solidFill>
            <a:schemeClr val="accent1">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501869</xdr:colOff>
      <xdr:row>11</xdr:row>
      <xdr:rowOff>156670</xdr:rowOff>
    </xdr:from>
    <xdr:to>
      <xdr:col>8</xdr:col>
      <xdr:colOff>416472</xdr:colOff>
      <xdr:row>11</xdr:row>
      <xdr:rowOff>156670</xdr:rowOff>
    </xdr:to>
    <xdr:cxnSp macro="">
      <xdr:nvCxnSpPr>
        <xdr:cNvPr id="8" name="Straight Arrow Connector 7">
          <a:extLst>
            <a:ext uri="{FF2B5EF4-FFF2-40B4-BE49-F238E27FC236}">
              <a16:creationId xmlns:a16="http://schemas.microsoft.com/office/drawing/2014/main" id="{00000000-0008-0000-0100-000008000000}"/>
            </a:ext>
          </a:extLst>
        </xdr:cNvPr>
        <xdr:cNvCxnSpPr/>
      </xdr:nvCxnSpPr>
      <xdr:spPr>
        <a:xfrm>
          <a:off x="4159469" y="2290270"/>
          <a:ext cx="1133803" cy="0"/>
        </a:xfrm>
        <a:prstGeom prst="straightConnector1">
          <a:avLst/>
        </a:prstGeom>
        <a:ln w="19050">
          <a:solidFill>
            <a:schemeClr val="accent3">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21677</xdr:colOff>
      <xdr:row>9</xdr:row>
      <xdr:rowOff>76200</xdr:rowOff>
    </xdr:from>
    <xdr:to>
      <xdr:col>6</xdr:col>
      <xdr:colOff>501869</xdr:colOff>
      <xdr:row>9</xdr:row>
      <xdr:rowOff>76200</xdr:rowOff>
    </xdr:to>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1850477" y="1800225"/>
          <a:ext cx="2308992" cy="0"/>
        </a:xfrm>
        <a:prstGeom prst="straightConnector1">
          <a:avLst/>
        </a:prstGeom>
        <a:ln w="19050">
          <a:solidFill>
            <a:schemeClr val="accent3">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511394</xdr:colOff>
      <xdr:row>9</xdr:row>
      <xdr:rowOff>66675</xdr:rowOff>
    </xdr:from>
    <xdr:to>
      <xdr:col>6</xdr:col>
      <xdr:colOff>511394</xdr:colOff>
      <xdr:row>11</xdr:row>
      <xdr:rowOff>156670</xdr:rowOff>
    </xdr:to>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flipV="1">
          <a:off x="4168994" y="1790700"/>
          <a:ext cx="0" cy="499570"/>
        </a:xfrm>
        <a:prstGeom prst="straightConnector1">
          <a:avLst/>
        </a:prstGeom>
        <a:ln w="19050">
          <a:solidFill>
            <a:schemeClr val="accent3">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442748</xdr:colOff>
      <xdr:row>10</xdr:row>
      <xdr:rowOff>163239</xdr:rowOff>
    </xdr:from>
    <xdr:to>
      <xdr:col>10</xdr:col>
      <xdr:colOff>229388</xdr:colOff>
      <xdr:row>14</xdr:row>
      <xdr:rowOff>157592</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5319548" y="2096814"/>
          <a:ext cx="1005840" cy="7658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XOSC</a:t>
          </a:r>
          <a:r>
            <a:rPr lang="en-US" sz="1100" baseline="0"/>
            <a:t> Select</a:t>
          </a:r>
        </a:p>
        <a:p>
          <a:pPr algn="ctr"/>
          <a:r>
            <a:rPr lang="en-US" sz="900" baseline="0"/>
            <a:t>XOSC_CTL[OSCBYP]</a:t>
          </a:r>
          <a:endParaRPr lang="en-US" sz="900"/>
        </a:p>
      </xdr:txBody>
    </xdr:sp>
    <xdr:clientData/>
  </xdr:twoCellAnchor>
  <xdr:twoCellAnchor>
    <xdr:from>
      <xdr:col>10</xdr:col>
      <xdr:colOff>235169</xdr:colOff>
      <xdr:row>12</xdr:row>
      <xdr:rowOff>68317</xdr:rowOff>
    </xdr:from>
    <xdr:to>
      <xdr:col>12</xdr:col>
      <xdr:colOff>1314</xdr:colOff>
      <xdr:row>12</xdr:row>
      <xdr:rowOff>68317</xdr:rowOff>
    </xdr:to>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a:off x="6331169" y="2392417"/>
          <a:ext cx="98534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579382</xdr:colOff>
      <xdr:row>11</xdr:row>
      <xdr:rowOff>169151</xdr:rowOff>
    </xdr:from>
    <xdr:ext cx="942975" cy="257176"/>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7894582" y="2302751"/>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n-US" sz="1000" b="1"/>
            <a:t>XOSC</a:t>
          </a:r>
        </a:p>
      </xdr:txBody>
    </xdr:sp>
    <xdr:clientData/>
  </xdr:oneCellAnchor>
  <xdr:oneCellAnchor>
    <xdr:from>
      <xdr:col>8</xdr:col>
      <xdr:colOff>561975</xdr:colOff>
      <xdr:row>15</xdr:row>
      <xdr:rowOff>200025</xdr:rowOff>
    </xdr:from>
    <xdr:ext cx="876300" cy="342900"/>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5438775" y="3143250"/>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XTAL</a:t>
          </a:r>
        </a:p>
        <a:p>
          <a:r>
            <a:rPr lang="en-US" sz="800"/>
            <a:t>1 - EXTAL</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11</xdr:row>
      <xdr:rowOff>11212</xdr:rowOff>
    </xdr:from>
    <xdr:to>
      <xdr:col>2</xdr:col>
      <xdr:colOff>454046</xdr:colOff>
      <xdr:row>14</xdr:row>
      <xdr:rowOff>174407</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03849" y="2067174"/>
          <a:ext cx="1057895" cy="723912"/>
          <a:chOff x="610115" y="190500"/>
          <a:chExt cx="1064161" cy="734695"/>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SENT</a:t>
            </a:r>
            <a:r>
              <a:rPr lang="en-US" sz="1100" baseline="0"/>
              <a:t>(2)</a:t>
            </a:r>
            <a:endParaRPr lang="en-US" sz="1100"/>
          </a:p>
        </xdr:txBody>
      </xdr:sp>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Protocol Clock</a:t>
            </a:r>
          </a:p>
        </xdr:txBody>
      </xdr:sp>
    </xdr:grpSp>
    <xdr:clientData/>
  </xdr:twoCellAnchor>
  <xdr:twoCellAnchor>
    <xdr:from>
      <xdr:col>1</xdr:col>
      <xdr:colOff>7018</xdr:colOff>
      <xdr:row>15</xdr:row>
      <xdr:rowOff>123507</xdr:rowOff>
    </xdr:from>
    <xdr:to>
      <xdr:col>2</xdr:col>
      <xdr:colOff>461064</xdr:colOff>
      <xdr:row>19</xdr:row>
      <xdr:rowOff>96202</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610867" y="2927092"/>
          <a:ext cx="1057895" cy="720318"/>
          <a:chOff x="610115" y="190500"/>
          <a:chExt cx="1064161" cy="734695"/>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LINFlexD(2)</a:t>
            </a:r>
          </a:p>
        </xdr:txBody>
      </xdr:sp>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a:t>
            </a:r>
            <a:r>
              <a:rPr lang="en-US" sz="600" baseline="0">
                <a:solidFill>
                  <a:schemeClr val="bg1"/>
                </a:solidFill>
              </a:rPr>
              <a:t> Clock</a:t>
            </a:r>
            <a:endParaRPr lang="en-US" sz="600">
              <a:solidFill>
                <a:schemeClr val="bg1"/>
              </a:solidFill>
            </a:endParaRPr>
          </a:p>
        </xdr:txBody>
      </xdr: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1</xdr:col>
      <xdr:colOff>14036</xdr:colOff>
      <xdr:row>20</xdr:row>
      <xdr:rowOff>15223</xdr:rowOff>
    </xdr:from>
    <xdr:to>
      <xdr:col>2</xdr:col>
      <xdr:colOff>468082</xdr:colOff>
      <xdr:row>23</xdr:row>
      <xdr:rowOff>178418</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617885" y="3753336"/>
          <a:ext cx="1057895" cy="723912"/>
          <a:chOff x="610115" y="190500"/>
          <a:chExt cx="1064161" cy="73469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FlexPWM(2)</a:t>
            </a:r>
          </a:p>
        </xdr:txBody>
      </xdr:sp>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r/w_data</a:t>
            </a:r>
          </a:p>
        </xdr:txBody>
      </xdr:sp>
    </xdr:grpSp>
    <xdr:clientData/>
  </xdr:twoCellAnchor>
  <xdr:twoCellAnchor>
    <xdr:from>
      <xdr:col>1</xdr:col>
      <xdr:colOff>11028</xdr:colOff>
      <xdr:row>25</xdr:row>
      <xdr:rowOff>32267</xdr:rowOff>
    </xdr:from>
    <xdr:to>
      <xdr:col>2</xdr:col>
      <xdr:colOff>465074</xdr:colOff>
      <xdr:row>29</xdr:row>
      <xdr:rowOff>4962</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14877" y="4704909"/>
          <a:ext cx="1057895" cy="720317"/>
          <a:chOff x="610115" y="190500"/>
          <a:chExt cx="1064161" cy="734695"/>
        </a:xfrm>
      </xdr:grpSpPr>
      <xdr:sp macro="" textlink="">
        <xdr:nvSpPr>
          <xdr:cNvPr id="19" name="Rectangle 18">
            <a:extLst>
              <a:ext uri="{FF2B5EF4-FFF2-40B4-BE49-F238E27FC236}">
                <a16:creationId xmlns:a16="http://schemas.microsoft.com/office/drawing/2014/main" id="{00000000-0008-0000-0200-000013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eTimer(3)</a:t>
            </a:r>
          </a:p>
        </xdr:txBody>
      </xdr:sp>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r/w_data</a:t>
            </a:r>
          </a:p>
        </xdr:txBody>
      </xdr:sp>
    </xdr:grpSp>
    <xdr:clientData/>
  </xdr:twoCellAnchor>
  <xdr:twoCellAnchor>
    <xdr:from>
      <xdr:col>1</xdr:col>
      <xdr:colOff>17045</xdr:colOff>
      <xdr:row>30</xdr:row>
      <xdr:rowOff>23243</xdr:rowOff>
    </xdr:from>
    <xdr:to>
      <xdr:col>2</xdr:col>
      <xdr:colOff>471091</xdr:colOff>
      <xdr:row>33</xdr:row>
      <xdr:rowOff>186438</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20894" y="5630413"/>
          <a:ext cx="1057895" cy="723912"/>
          <a:chOff x="610115" y="190500"/>
          <a:chExt cx="1064161" cy="734695"/>
        </a:xfrm>
      </xdr:grpSpPr>
      <xdr:sp macro="" textlink="">
        <xdr:nvSpPr>
          <xdr:cNvPr id="24" name="Rectangle 23">
            <a:extLst>
              <a:ext uri="{FF2B5EF4-FFF2-40B4-BE49-F238E27FC236}">
                <a16:creationId xmlns:a16="http://schemas.microsoft.com/office/drawing/2014/main" id="{00000000-0008-0000-0200-000018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FlexCAN(3)</a:t>
            </a:r>
            <a:endParaRPr lang="en-US" sz="1100"/>
          </a:p>
        </xdr:txBody>
      </xdr:sp>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Protocol Clock</a:t>
            </a:r>
          </a:p>
        </xdr:txBody>
      </xdr:sp>
    </xdr:grpSp>
    <xdr:clientData/>
  </xdr:twoCellAnchor>
  <xdr:twoCellAnchor>
    <xdr:from>
      <xdr:col>1</xdr:col>
      <xdr:colOff>14037</xdr:colOff>
      <xdr:row>35</xdr:row>
      <xdr:rowOff>20235</xdr:rowOff>
    </xdr:from>
    <xdr:to>
      <xdr:col>2</xdr:col>
      <xdr:colOff>468083</xdr:colOff>
      <xdr:row>38</xdr:row>
      <xdr:rowOff>183430</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17886" y="6561933"/>
          <a:ext cx="1057895" cy="723912"/>
          <a:chOff x="610115" y="190500"/>
          <a:chExt cx="1064161" cy="734695"/>
        </a:xfrm>
      </xdr:grpSpPr>
      <xdr:sp macro="" textlink="">
        <xdr:nvSpPr>
          <xdr:cNvPr id="29" name="Rectangle 28">
            <a:extLst>
              <a:ext uri="{FF2B5EF4-FFF2-40B4-BE49-F238E27FC236}">
                <a16:creationId xmlns:a16="http://schemas.microsoft.com/office/drawing/2014/main" id="{00000000-0008-0000-0200-00001D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SGEN</a:t>
            </a:r>
            <a:endParaRPr lang="en-US" sz="1100"/>
          </a:p>
        </xdr:txBody>
      </xdr:sp>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r/w_data</a:t>
            </a:r>
          </a:p>
        </xdr:txBody>
      </xdr:sp>
    </xdr:grpSp>
    <xdr:clientData/>
  </xdr:twoCellAnchor>
  <xdr:twoCellAnchor>
    <xdr:from>
      <xdr:col>1</xdr:col>
      <xdr:colOff>6016</xdr:colOff>
      <xdr:row>40</xdr:row>
      <xdr:rowOff>22240</xdr:rowOff>
    </xdr:from>
    <xdr:to>
      <xdr:col>2</xdr:col>
      <xdr:colOff>460062</xdr:colOff>
      <xdr:row>43</xdr:row>
      <xdr:rowOff>185435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09865" y="7498466"/>
          <a:ext cx="1057895" cy="723912"/>
          <a:chOff x="610115" y="190500"/>
          <a:chExt cx="1064161" cy="734695"/>
        </a:xfrm>
      </xdr:grpSpPr>
      <xdr:sp macro="" textlink="">
        <xdr:nvSpPr>
          <xdr:cNvPr id="34" name="Rectangle 33">
            <a:extLst>
              <a:ext uri="{FF2B5EF4-FFF2-40B4-BE49-F238E27FC236}">
                <a16:creationId xmlns:a16="http://schemas.microsoft.com/office/drawing/2014/main" id="{00000000-0008-0000-0200-000022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CTU(2)</a:t>
            </a:r>
            <a:endParaRPr lang="en-US" sz="1100"/>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r/w_data</a:t>
            </a:r>
          </a:p>
        </xdr:txBody>
      </xdr:sp>
    </xdr:grpSp>
    <xdr:clientData/>
  </xdr:twoCellAnchor>
  <xdr:twoCellAnchor>
    <xdr:from>
      <xdr:col>1</xdr:col>
      <xdr:colOff>13034</xdr:colOff>
      <xdr:row>45</xdr:row>
      <xdr:rowOff>24245</xdr:rowOff>
    </xdr:from>
    <xdr:to>
      <xdr:col>2</xdr:col>
      <xdr:colOff>446462</xdr:colOff>
      <xdr:row>48</xdr:row>
      <xdr:rowOff>187440</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616883" y="8435000"/>
          <a:ext cx="1037277" cy="716292"/>
          <a:chOff x="610115" y="190500"/>
          <a:chExt cx="1043572" cy="734695"/>
        </a:xfrm>
      </xdr:grpSpPr>
      <xdr:sp macro="" textlink="">
        <xdr:nvSpPr>
          <xdr:cNvPr id="39" name="Rectangle 38">
            <a:extLst>
              <a:ext uri="{FF2B5EF4-FFF2-40B4-BE49-F238E27FC236}">
                <a16:creationId xmlns:a16="http://schemas.microsoft.com/office/drawing/2014/main" id="{00000000-0008-0000-0200-000027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PIT</a:t>
            </a:r>
            <a:endParaRPr lang="en-US" sz="1100"/>
          </a:p>
        </xdr:txBody>
      </xdr:sp>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019690" y="23812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024522" y="327422"/>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6</xdr:col>
      <xdr:colOff>315370</xdr:colOff>
      <xdr:row>6</xdr:row>
      <xdr:rowOff>11208</xdr:rowOff>
    </xdr:from>
    <xdr:to>
      <xdr:col>6</xdr:col>
      <xdr:colOff>315370</xdr:colOff>
      <xdr:row>112</xdr:row>
      <xdr:rowOff>170793</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a:off x="3980853" y="1167346"/>
          <a:ext cx="0" cy="20352585"/>
        </a:xfrm>
        <a:prstGeom prst="straightConnector1">
          <a:avLst/>
        </a:prstGeom>
        <a:ln w="19050">
          <a:solidFill>
            <a:srgbClr val="00B050"/>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425827</xdr:colOff>
      <xdr:row>2</xdr:row>
      <xdr:rowOff>168089</xdr:rowOff>
    </xdr:from>
    <xdr:ext cx="1057275" cy="419101"/>
    <xdr:sp macro="" textlink="">
      <xdr:nvSpPr>
        <xdr:cNvPr id="43" name="TextBox 42">
          <a:hlinkClick xmlns:r="http://schemas.openxmlformats.org/officeDocument/2006/relationships" r:id="rId1"/>
          <a:extLst>
            <a:ext uri="{FF2B5EF4-FFF2-40B4-BE49-F238E27FC236}">
              <a16:creationId xmlns:a16="http://schemas.microsoft.com/office/drawing/2014/main" id="{00000000-0008-0000-0200-00002B000000}"/>
            </a:ext>
          </a:extLst>
        </xdr:cNvPr>
        <xdr:cNvSpPr txBox="1"/>
      </xdr:nvSpPr>
      <xdr:spPr>
        <a:xfrm>
          <a:off x="3451415" y="54908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PBRIDGE0_CLK</a:t>
          </a:r>
        </a:p>
        <a:p>
          <a:r>
            <a:rPr lang="en-US" sz="1000" b="1"/>
            <a:t>PBRIDGE1_CLK</a:t>
          </a:r>
        </a:p>
      </xdr:txBody>
    </xdr:sp>
    <xdr:clientData/>
  </xdr:oneCellAnchor>
  <xdr:twoCellAnchor>
    <xdr:from>
      <xdr:col>2</xdr:col>
      <xdr:colOff>428590</xdr:colOff>
      <xdr:row>11</xdr:row>
      <xdr:rowOff>149325</xdr:rowOff>
    </xdr:from>
    <xdr:to>
      <xdr:col>6</xdr:col>
      <xdr:colOff>310815</xdr:colOff>
      <xdr:row>11</xdr:row>
      <xdr:rowOff>149325</xdr:rowOff>
    </xdr:to>
    <xdr:cxnSp macro="">
      <xdr:nvCxnSpPr>
        <xdr:cNvPr id="45" name="Straight Arrow Connector 44">
          <a:extLst>
            <a:ext uri="{FF2B5EF4-FFF2-40B4-BE49-F238E27FC236}">
              <a16:creationId xmlns:a16="http://schemas.microsoft.com/office/drawing/2014/main" id="{00000000-0008-0000-0200-00002D000000}"/>
            </a:ext>
          </a:extLst>
        </xdr:cNvPr>
        <xdr:cNvCxnSpPr>
          <a:endCxn id="3" idx="3"/>
        </xdr:cNvCxnSpPr>
      </xdr:nvCxnSpPr>
      <xdr:spPr>
        <a:xfrm flipH="1">
          <a:off x="1651801" y="2244825"/>
          <a:ext cx="2328646"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420568</xdr:colOff>
      <xdr:row>12</xdr:row>
      <xdr:rowOff>46054</xdr:rowOff>
    </xdr:from>
    <xdr:to>
      <xdr:col>3</xdr:col>
      <xdr:colOff>215566</xdr:colOff>
      <xdr:row>12</xdr:row>
      <xdr:rowOff>46054</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1643779" y="2332054"/>
          <a:ext cx="406603"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205538</xdr:colOff>
      <xdr:row>11</xdr:row>
      <xdr:rowOff>155408</xdr:rowOff>
    </xdr:from>
    <xdr:to>
      <xdr:col>3</xdr:col>
      <xdr:colOff>205538</xdr:colOff>
      <xdr:row>12</xdr:row>
      <xdr:rowOff>40105</xdr:rowOff>
    </xdr:to>
    <xdr:cxnSp macro="">
      <xdr:nvCxnSpPr>
        <xdr:cNvPr id="71" name="Straight Connector 70">
          <a:extLst>
            <a:ext uri="{FF2B5EF4-FFF2-40B4-BE49-F238E27FC236}">
              <a16:creationId xmlns:a16="http://schemas.microsoft.com/office/drawing/2014/main" id="{00000000-0008-0000-0200-000047000000}"/>
            </a:ext>
          </a:extLst>
        </xdr:cNvPr>
        <xdr:cNvCxnSpPr/>
      </xdr:nvCxnSpPr>
      <xdr:spPr>
        <a:xfrm>
          <a:off x="2040354" y="2250908"/>
          <a:ext cx="0" cy="75197"/>
        </a:xfrm>
        <a:prstGeom prst="line">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454046</xdr:colOff>
      <xdr:row>14</xdr:row>
      <xdr:rowOff>48926</xdr:rowOff>
    </xdr:from>
    <xdr:to>
      <xdr:col>4</xdr:col>
      <xdr:colOff>5013</xdr:colOff>
      <xdr:row>14</xdr:row>
      <xdr:rowOff>48926</xdr:rowOff>
    </xdr:to>
    <xdr:cxnSp macro="">
      <xdr:nvCxnSpPr>
        <xdr:cNvPr id="76" name="Straight Arrow Connector 75">
          <a:extLst>
            <a:ext uri="{FF2B5EF4-FFF2-40B4-BE49-F238E27FC236}">
              <a16:creationId xmlns:a16="http://schemas.microsoft.com/office/drawing/2014/main" id="{00000000-0008-0000-0200-00004C000000}"/>
            </a:ext>
          </a:extLst>
        </xdr:cNvPr>
        <xdr:cNvCxnSpPr>
          <a:endCxn id="6" idx="3"/>
        </xdr:cNvCxnSpPr>
      </xdr:nvCxnSpPr>
      <xdr:spPr>
        <a:xfrm flipH="1">
          <a:off x="1677257" y="2715926"/>
          <a:ext cx="774177"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406066</xdr:colOff>
      <xdr:row>13</xdr:row>
      <xdr:rowOff>55144</xdr:rowOff>
    </xdr:from>
    <xdr:ext cx="1057275" cy="419101"/>
    <xdr:sp macro="" textlink="">
      <xdr:nvSpPr>
        <xdr:cNvPr id="80" name="TextBox 79">
          <a:hlinkClick xmlns:r="http://schemas.openxmlformats.org/officeDocument/2006/relationships" r:id="rId2"/>
          <a:extLst>
            <a:ext uri="{FF2B5EF4-FFF2-40B4-BE49-F238E27FC236}">
              <a16:creationId xmlns:a16="http://schemas.microsoft.com/office/drawing/2014/main" id="{00000000-0008-0000-0200-000050000000}"/>
            </a:ext>
          </a:extLst>
        </xdr:cNvPr>
        <xdr:cNvSpPr txBox="1"/>
      </xdr:nvSpPr>
      <xdr:spPr>
        <a:xfrm>
          <a:off x="2852487" y="253164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SENT_CLK</a:t>
          </a:r>
        </a:p>
      </xdr:txBody>
    </xdr:sp>
    <xdr:clientData/>
  </xdr:oneCellAnchor>
  <xdr:twoCellAnchor>
    <xdr:from>
      <xdr:col>2</xdr:col>
      <xdr:colOff>435608</xdr:colOff>
      <xdr:row>16</xdr:row>
      <xdr:rowOff>70184</xdr:rowOff>
    </xdr:from>
    <xdr:to>
      <xdr:col>6</xdr:col>
      <xdr:colOff>325855</xdr:colOff>
      <xdr:row>16</xdr:row>
      <xdr:rowOff>71120</xdr:rowOff>
    </xdr:to>
    <xdr:cxnSp macro="">
      <xdr:nvCxnSpPr>
        <xdr:cNvPr id="82" name="Straight Arrow Connector 81">
          <a:extLst>
            <a:ext uri="{FF2B5EF4-FFF2-40B4-BE49-F238E27FC236}">
              <a16:creationId xmlns:a16="http://schemas.microsoft.com/office/drawing/2014/main" id="{00000000-0008-0000-0200-000052000000}"/>
            </a:ext>
          </a:extLst>
        </xdr:cNvPr>
        <xdr:cNvCxnSpPr>
          <a:endCxn id="10" idx="3"/>
        </xdr:cNvCxnSpPr>
      </xdr:nvCxnSpPr>
      <xdr:spPr>
        <a:xfrm flipH="1">
          <a:off x="1658819" y="3138237"/>
          <a:ext cx="2336668" cy="93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10025</xdr:colOff>
      <xdr:row>16</xdr:row>
      <xdr:rowOff>60157</xdr:rowOff>
    </xdr:from>
    <xdr:to>
      <xdr:col>6</xdr:col>
      <xdr:colOff>10025</xdr:colOff>
      <xdr:row>18</xdr:row>
      <xdr:rowOff>165434</xdr:rowOff>
    </xdr:to>
    <xdr:cxnSp macro="">
      <xdr:nvCxnSpPr>
        <xdr:cNvPr id="85" name="Straight Connector 84">
          <a:extLst>
            <a:ext uri="{FF2B5EF4-FFF2-40B4-BE49-F238E27FC236}">
              <a16:creationId xmlns:a16="http://schemas.microsoft.com/office/drawing/2014/main" id="{00000000-0008-0000-0200-000055000000}"/>
            </a:ext>
          </a:extLst>
        </xdr:cNvPr>
        <xdr:cNvCxnSpPr/>
      </xdr:nvCxnSpPr>
      <xdr:spPr>
        <a:xfrm>
          <a:off x="3679657" y="3128210"/>
          <a:ext cx="0" cy="486277"/>
        </a:xfrm>
        <a:prstGeom prst="line">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461064</xdr:colOff>
      <xdr:row>18</xdr:row>
      <xdr:rowOff>161221</xdr:rowOff>
    </xdr:from>
    <xdr:to>
      <xdr:col>6</xdr:col>
      <xdr:colOff>15039</xdr:colOff>
      <xdr:row>18</xdr:row>
      <xdr:rowOff>161221</xdr:rowOff>
    </xdr:to>
    <xdr:cxnSp macro="">
      <xdr:nvCxnSpPr>
        <xdr:cNvPr id="87" name="Straight Arrow Connector 86">
          <a:extLst>
            <a:ext uri="{FF2B5EF4-FFF2-40B4-BE49-F238E27FC236}">
              <a16:creationId xmlns:a16="http://schemas.microsoft.com/office/drawing/2014/main" id="{00000000-0008-0000-0200-000057000000}"/>
            </a:ext>
          </a:extLst>
        </xdr:cNvPr>
        <xdr:cNvCxnSpPr>
          <a:endCxn id="12" idx="3"/>
        </xdr:cNvCxnSpPr>
      </xdr:nvCxnSpPr>
      <xdr:spPr>
        <a:xfrm flipH="1">
          <a:off x="1684275" y="3610274"/>
          <a:ext cx="2000396"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440447</xdr:colOff>
      <xdr:row>16</xdr:row>
      <xdr:rowOff>160417</xdr:rowOff>
    </xdr:from>
    <xdr:to>
      <xdr:col>9</xdr:col>
      <xdr:colOff>305803</xdr:colOff>
      <xdr:row>16</xdr:row>
      <xdr:rowOff>160417</xdr:rowOff>
    </xdr:to>
    <xdr:cxnSp macro="">
      <xdr:nvCxnSpPr>
        <xdr:cNvPr id="91" name="Straight Arrow Connector 90">
          <a:extLst>
            <a:ext uri="{FF2B5EF4-FFF2-40B4-BE49-F238E27FC236}">
              <a16:creationId xmlns:a16="http://schemas.microsoft.com/office/drawing/2014/main" id="{00000000-0008-0000-0200-00005B000000}"/>
            </a:ext>
          </a:extLst>
        </xdr:cNvPr>
        <xdr:cNvCxnSpPr>
          <a:endCxn id="11" idx="3"/>
        </xdr:cNvCxnSpPr>
      </xdr:nvCxnSpPr>
      <xdr:spPr>
        <a:xfrm flipH="1">
          <a:off x="1663658" y="3228470"/>
          <a:ext cx="4146592" cy="0"/>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295777</xdr:colOff>
      <xdr:row>6</xdr:row>
      <xdr:rowOff>5015</xdr:rowOff>
    </xdr:from>
    <xdr:to>
      <xdr:col>9</xdr:col>
      <xdr:colOff>295777</xdr:colOff>
      <xdr:row>112</xdr:row>
      <xdr:rowOff>183931</xdr:rowOff>
    </xdr:to>
    <xdr:cxnSp macro="">
      <xdr:nvCxnSpPr>
        <xdr:cNvPr id="95" name="Straight Arrow Connector 94">
          <a:extLst>
            <a:ext uri="{FF2B5EF4-FFF2-40B4-BE49-F238E27FC236}">
              <a16:creationId xmlns:a16="http://schemas.microsoft.com/office/drawing/2014/main" id="{00000000-0008-0000-0200-00005F000000}"/>
            </a:ext>
          </a:extLst>
        </xdr:cNvPr>
        <xdr:cNvCxnSpPr/>
      </xdr:nvCxnSpPr>
      <xdr:spPr>
        <a:xfrm flipV="1">
          <a:off x="5794001" y="1161153"/>
          <a:ext cx="0" cy="20371916"/>
        </a:xfrm>
        <a:prstGeom prst="straightConnector1">
          <a:avLst/>
        </a:prstGeom>
        <a:ln w="19050">
          <a:solidFill>
            <a:schemeClr val="accent2"/>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483625</xdr:colOff>
      <xdr:row>3</xdr:row>
      <xdr:rowOff>138010</xdr:rowOff>
    </xdr:from>
    <xdr:ext cx="942975" cy="257176"/>
    <xdr:sp macro="" textlink="">
      <xdr:nvSpPr>
        <xdr:cNvPr id="103" name="TextBox 102">
          <a:hlinkClick xmlns:r="http://schemas.openxmlformats.org/officeDocument/2006/relationships" r:id="rId3"/>
          <a:extLst>
            <a:ext uri="{FF2B5EF4-FFF2-40B4-BE49-F238E27FC236}">
              <a16:creationId xmlns:a16="http://schemas.microsoft.com/office/drawing/2014/main" id="{00000000-0008-0000-0200-000067000000}"/>
            </a:ext>
          </a:extLst>
        </xdr:cNvPr>
        <xdr:cNvSpPr txBox="1"/>
      </xdr:nvSpPr>
      <xdr:spPr>
        <a:xfrm>
          <a:off x="5376467" y="709510"/>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HALFSYS_CLK</a:t>
          </a:r>
        </a:p>
      </xdr:txBody>
    </xdr:sp>
    <xdr:clientData/>
  </xdr:oneCellAnchor>
  <xdr:twoCellAnchor>
    <xdr:from>
      <xdr:col>12</xdr:col>
      <xdr:colOff>307808</xdr:colOff>
      <xdr:row>6</xdr:row>
      <xdr:rowOff>12033</xdr:rowOff>
    </xdr:from>
    <xdr:to>
      <xdr:col>12</xdr:col>
      <xdr:colOff>307808</xdr:colOff>
      <xdr:row>113</xdr:row>
      <xdr:rowOff>0</xdr:rowOff>
    </xdr:to>
    <xdr:cxnSp macro="">
      <xdr:nvCxnSpPr>
        <xdr:cNvPr id="105" name="Straight Arrow Connector 104">
          <a:extLst>
            <a:ext uri="{FF2B5EF4-FFF2-40B4-BE49-F238E27FC236}">
              <a16:creationId xmlns:a16="http://schemas.microsoft.com/office/drawing/2014/main" id="{00000000-0008-0000-0200-000069000000}"/>
            </a:ext>
          </a:extLst>
        </xdr:cNvPr>
        <xdr:cNvCxnSpPr/>
      </xdr:nvCxnSpPr>
      <xdr:spPr>
        <a:xfrm flipV="1">
          <a:off x="7638774" y="1168171"/>
          <a:ext cx="0" cy="20371467"/>
        </a:xfrm>
        <a:prstGeom prst="straightConnector1">
          <a:avLst/>
        </a:prstGeom>
        <a:ln w="19050">
          <a:solidFill>
            <a:schemeClr val="accent5"/>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455551</xdr:colOff>
      <xdr:row>3</xdr:row>
      <xdr:rowOff>165081</xdr:rowOff>
    </xdr:from>
    <xdr:ext cx="942975" cy="257176"/>
    <xdr:sp macro="" textlink="">
      <xdr:nvSpPr>
        <xdr:cNvPr id="106" name="TextBox 105">
          <a:hlinkClick xmlns:r="http://schemas.openxmlformats.org/officeDocument/2006/relationships" r:id="rId4"/>
          <a:extLst>
            <a:ext uri="{FF2B5EF4-FFF2-40B4-BE49-F238E27FC236}">
              <a16:creationId xmlns:a16="http://schemas.microsoft.com/office/drawing/2014/main" id="{00000000-0008-0000-0200-00006A000000}"/>
            </a:ext>
          </a:extLst>
        </xdr:cNvPr>
        <xdr:cNvSpPr txBox="1"/>
      </xdr:nvSpPr>
      <xdr:spPr>
        <a:xfrm>
          <a:off x="7183209" y="736581"/>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MOTC_CLK</a:t>
          </a:r>
        </a:p>
      </xdr:txBody>
    </xdr:sp>
    <xdr:clientData/>
  </xdr:oneCellAnchor>
  <xdr:twoCellAnchor>
    <xdr:from>
      <xdr:col>2</xdr:col>
      <xdr:colOff>442713</xdr:colOff>
      <xdr:row>20</xdr:row>
      <xdr:rowOff>153336</xdr:rowOff>
    </xdr:from>
    <xdr:to>
      <xdr:col>12</xdr:col>
      <xdr:colOff>312095</xdr:colOff>
      <xdr:row>20</xdr:row>
      <xdr:rowOff>153336</xdr:rowOff>
    </xdr:to>
    <xdr:cxnSp macro="">
      <xdr:nvCxnSpPr>
        <xdr:cNvPr id="108" name="Straight Arrow Connector 107">
          <a:extLst>
            <a:ext uri="{FF2B5EF4-FFF2-40B4-BE49-F238E27FC236}">
              <a16:creationId xmlns:a16="http://schemas.microsoft.com/office/drawing/2014/main" id="{00000000-0008-0000-0200-00006C000000}"/>
            </a:ext>
          </a:extLst>
        </xdr:cNvPr>
        <xdr:cNvCxnSpPr>
          <a:endCxn id="15" idx="3"/>
        </xdr:cNvCxnSpPr>
      </xdr:nvCxnSpPr>
      <xdr:spPr>
        <a:xfrm flipH="1">
          <a:off x="1658670" y="3979549"/>
          <a:ext cx="5949170" cy="0"/>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208312</xdr:colOff>
      <xdr:row>20</xdr:row>
      <xdr:rowOff>159466</xdr:rowOff>
    </xdr:from>
    <xdr:to>
      <xdr:col>3</xdr:col>
      <xdr:colOff>208312</xdr:colOff>
      <xdr:row>21</xdr:row>
      <xdr:rowOff>59028</xdr:rowOff>
    </xdr:to>
    <xdr:cxnSp macro="">
      <xdr:nvCxnSpPr>
        <xdr:cNvPr id="113" name="Straight Connector 112">
          <a:extLst>
            <a:ext uri="{FF2B5EF4-FFF2-40B4-BE49-F238E27FC236}">
              <a16:creationId xmlns:a16="http://schemas.microsoft.com/office/drawing/2014/main" id="{00000000-0008-0000-0200-000071000000}"/>
            </a:ext>
          </a:extLst>
        </xdr:cNvPr>
        <xdr:cNvCxnSpPr/>
      </xdr:nvCxnSpPr>
      <xdr:spPr>
        <a:xfrm>
          <a:off x="2035502" y="3990931"/>
          <a:ext cx="0" cy="90062"/>
        </a:xfrm>
        <a:prstGeom prst="line">
          <a:avLst/>
        </a:prstGeom>
        <a:ln w="19050">
          <a:solidFill>
            <a:schemeClr val="accent5"/>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447490</xdr:colOff>
      <xdr:row>21</xdr:row>
      <xdr:rowOff>52133</xdr:rowOff>
    </xdr:from>
    <xdr:to>
      <xdr:col>3</xdr:col>
      <xdr:colOff>206644</xdr:colOff>
      <xdr:row>21</xdr:row>
      <xdr:rowOff>52133</xdr:rowOff>
    </xdr:to>
    <xdr:cxnSp macro="">
      <xdr:nvCxnSpPr>
        <xdr:cNvPr id="114" name="Straight Arrow Connector 113">
          <a:extLst>
            <a:ext uri="{FF2B5EF4-FFF2-40B4-BE49-F238E27FC236}">
              <a16:creationId xmlns:a16="http://schemas.microsoft.com/office/drawing/2014/main" id="{00000000-0008-0000-0200-000072000000}"/>
            </a:ext>
          </a:extLst>
        </xdr:cNvPr>
        <xdr:cNvCxnSpPr>
          <a:endCxn id="16" idx="3"/>
        </xdr:cNvCxnSpPr>
      </xdr:nvCxnSpPr>
      <xdr:spPr>
        <a:xfrm flipH="1">
          <a:off x="1667982" y="4072006"/>
          <a:ext cx="369399" cy="0"/>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6761</xdr:colOff>
      <xdr:row>20</xdr:row>
      <xdr:rowOff>159466</xdr:rowOff>
    </xdr:from>
    <xdr:to>
      <xdr:col>6</xdr:col>
      <xdr:colOff>6761</xdr:colOff>
      <xdr:row>22</xdr:row>
      <xdr:rowOff>18781</xdr:rowOff>
    </xdr:to>
    <xdr:cxnSp macro="">
      <xdr:nvCxnSpPr>
        <xdr:cNvPr id="121" name="Straight Connector 120">
          <a:extLst>
            <a:ext uri="{FF2B5EF4-FFF2-40B4-BE49-F238E27FC236}">
              <a16:creationId xmlns:a16="http://schemas.microsoft.com/office/drawing/2014/main" id="{00000000-0008-0000-0200-000079000000}"/>
            </a:ext>
          </a:extLst>
        </xdr:cNvPr>
        <xdr:cNvCxnSpPr/>
      </xdr:nvCxnSpPr>
      <xdr:spPr>
        <a:xfrm>
          <a:off x="3661141" y="3990931"/>
          <a:ext cx="0" cy="240315"/>
        </a:xfrm>
        <a:prstGeom prst="line">
          <a:avLst/>
        </a:prstGeom>
        <a:ln w="19050">
          <a:solidFill>
            <a:schemeClr val="accent5"/>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594743</xdr:colOff>
      <xdr:row>22</xdr:row>
      <xdr:rowOff>14569</xdr:rowOff>
    </xdr:from>
    <xdr:to>
      <xdr:col>6</xdr:col>
      <xdr:colOff>13416</xdr:colOff>
      <xdr:row>22</xdr:row>
      <xdr:rowOff>14569</xdr:rowOff>
    </xdr:to>
    <xdr:cxnSp macro="">
      <xdr:nvCxnSpPr>
        <xdr:cNvPr id="122" name="Straight Arrow Connector 121">
          <a:extLst>
            <a:ext uri="{FF2B5EF4-FFF2-40B4-BE49-F238E27FC236}">
              <a16:creationId xmlns:a16="http://schemas.microsoft.com/office/drawing/2014/main" id="{00000000-0008-0000-0200-00007A000000}"/>
            </a:ext>
          </a:extLst>
        </xdr:cNvPr>
        <xdr:cNvCxnSpPr/>
      </xdr:nvCxnSpPr>
      <xdr:spPr>
        <a:xfrm flipH="1">
          <a:off x="3030997" y="4227034"/>
          <a:ext cx="636799" cy="0"/>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69845</xdr:colOff>
      <xdr:row>21</xdr:row>
      <xdr:rowOff>148842</xdr:rowOff>
    </xdr:from>
    <xdr:to>
      <xdr:col>4</xdr:col>
      <xdr:colOff>590281</xdr:colOff>
      <xdr:row>23</xdr:row>
      <xdr:rowOff>67078</xdr:rowOff>
    </xdr:to>
    <xdr:sp macro="" textlink="">
      <xdr:nvSpPr>
        <xdr:cNvPr id="124" name="Rectangle 123">
          <a:extLst>
            <a:ext uri="{FF2B5EF4-FFF2-40B4-BE49-F238E27FC236}">
              <a16:creationId xmlns:a16="http://schemas.microsoft.com/office/drawing/2014/main" id="{00000000-0008-0000-0200-00007C000000}"/>
            </a:ext>
          </a:extLst>
        </xdr:cNvPr>
        <xdr:cNvSpPr/>
      </xdr:nvSpPr>
      <xdr:spPr>
        <a:xfrm>
          <a:off x="2506099" y="4170807"/>
          <a:ext cx="520436" cy="2992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600"/>
            <a:t>IP</a:t>
          </a:r>
          <a:r>
            <a:rPr lang="en-US" sz="600" baseline="0"/>
            <a:t> Bus Clock Sync Bridge</a:t>
          </a:r>
          <a:endParaRPr lang="en-US" sz="600"/>
        </a:p>
      </xdr:txBody>
    </xdr:sp>
    <xdr:clientData/>
  </xdr:twoCellAnchor>
  <xdr:twoCellAnchor>
    <xdr:from>
      <xdr:col>4</xdr:col>
      <xdr:colOff>598331</xdr:colOff>
      <xdr:row>22</xdr:row>
      <xdr:rowOff>189321</xdr:rowOff>
    </xdr:from>
    <xdr:to>
      <xdr:col>6</xdr:col>
      <xdr:colOff>316606</xdr:colOff>
      <xdr:row>22</xdr:row>
      <xdr:rowOff>189321</xdr:rowOff>
    </xdr:to>
    <xdr:cxnSp macro="">
      <xdr:nvCxnSpPr>
        <xdr:cNvPr id="130" name="Straight Arrow Connector 129">
          <a:extLst>
            <a:ext uri="{FF2B5EF4-FFF2-40B4-BE49-F238E27FC236}">
              <a16:creationId xmlns:a16="http://schemas.microsoft.com/office/drawing/2014/main" id="{00000000-0008-0000-0200-000082000000}"/>
            </a:ext>
          </a:extLst>
        </xdr:cNvPr>
        <xdr:cNvCxnSpPr/>
      </xdr:nvCxnSpPr>
      <xdr:spPr>
        <a:xfrm flipH="1">
          <a:off x="3034585" y="4401786"/>
          <a:ext cx="936401"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468082</xdr:colOff>
      <xdr:row>23</xdr:row>
      <xdr:rowOff>52937</xdr:rowOff>
    </xdr:from>
    <xdr:to>
      <xdr:col>4</xdr:col>
      <xdr:colOff>59028</xdr:colOff>
      <xdr:row>23</xdr:row>
      <xdr:rowOff>53662</xdr:rowOff>
    </xdr:to>
    <xdr:cxnSp macro="">
      <xdr:nvCxnSpPr>
        <xdr:cNvPr id="133" name="Straight Arrow Connector 132">
          <a:extLst>
            <a:ext uri="{FF2B5EF4-FFF2-40B4-BE49-F238E27FC236}">
              <a16:creationId xmlns:a16="http://schemas.microsoft.com/office/drawing/2014/main" id="{00000000-0008-0000-0200-000085000000}"/>
            </a:ext>
          </a:extLst>
        </xdr:cNvPr>
        <xdr:cNvCxnSpPr>
          <a:endCxn id="17" idx="3"/>
        </xdr:cNvCxnSpPr>
      </xdr:nvCxnSpPr>
      <xdr:spPr>
        <a:xfrm flipH="1" flipV="1">
          <a:off x="1686209" y="4455902"/>
          <a:ext cx="809073" cy="7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439678</xdr:colOff>
      <xdr:row>25</xdr:row>
      <xdr:rowOff>169552</xdr:rowOff>
    </xdr:from>
    <xdr:to>
      <xdr:col>12</xdr:col>
      <xdr:colOff>312608</xdr:colOff>
      <xdr:row>25</xdr:row>
      <xdr:rowOff>170380</xdr:rowOff>
    </xdr:to>
    <xdr:cxnSp macro="">
      <xdr:nvCxnSpPr>
        <xdr:cNvPr id="136" name="Straight Arrow Connector 135">
          <a:extLst>
            <a:ext uri="{FF2B5EF4-FFF2-40B4-BE49-F238E27FC236}">
              <a16:creationId xmlns:a16="http://schemas.microsoft.com/office/drawing/2014/main" id="{00000000-0008-0000-0200-000088000000}"/>
            </a:ext>
          </a:extLst>
        </xdr:cNvPr>
        <xdr:cNvCxnSpPr>
          <a:endCxn id="20" idx="3"/>
        </xdr:cNvCxnSpPr>
      </xdr:nvCxnSpPr>
      <xdr:spPr>
        <a:xfrm flipH="1">
          <a:off x="1657805" y="4953517"/>
          <a:ext cx="5963564" cy="828"/>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208825</xdr:colOff>
      <xdr:row>25</xdr:row>
      <xdr:rowOff>175682</xdr:rowOff>
    </xdr:from>
    <xdr:to>
      <xdr:col>3</xdr:col>
      <xdr:colOff>208825</xdr:colOff>
      <xdr:row>26</xdr:row>
      <xdr:rowOff>75244</xdr:rowOff>
    </xdr:to>
    <xdr:cxnSp macro="">
      <xdr:nvCxnSpPr>
        <xdr:cNvPr id="137" name="Straight Connector 136">
          <a:extLst>
            <a:ext uri="{FF2B5EF4-FFF2-40B4-BE49-F238E27FC236}">
              <a16:creationId xmlns:a16="http://schemas.microsoft.com/office/drawing/2014/main" id="{00000000-0008-0000-0200-000089000000}"/>
            </a:ext>
          </a:extLst>
        </xdr:cNvPr>
        <xdr:cNvCxnSpPr/>
      </xdr:nvCxnSpPr>
      <xdr:spPr>
        <a:xfrm>
          <a:off x="2036015" y="4959647"/>
          <a:ext cx="0" cy="90062"/>
        </a:xfrm>
        <a:prstGeom prst="line">
          <a:avLst/>
        </a:prstGeom>
        <a:ln w="19050">
          <a:solidFill>
            <a:schemeClr val="accent5"/>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444506</xdr:colOff>
      <xdr:row>26</xdr:row>
      <xdr:rowOff>68349</xdr:rowOff>
    </xdr:from>
    <xdr:to>
      <xdr:col>3</xdr:col>
      <xdr:colOff>207158</xdr:colOff>
      <xdr:row>26</xdr:row>
      <xdr:rowOff>69177</xdr:rowOff>
    </xdr:to>
    <xdr:cxnSp macro="">
      <xdr:nvCxnSpPr>
        <xdr:cNvPr id="138" name="Straight Arrow Connector 137">
          <a:extLst>
            <a:ext uri="{FF2B5EF4-FFF2-40B4-BE49-F238E27FC236}">
              <a16:creationId xmlns:a16="http://schemas.microsoft.com/office/drawing/2014/main" id="{00000000-0008-0000-0200-00008A000000}"/>
            </a:ext>
          </a:extLst>
        </xdr:cNvPr>
        <xdr:cNvCxnSpPr>
          <a:endCxn id="21" idx="3"/>
        </xdr:cNvCxnSpPr>
      </xdr:nvCxnSpPr>
      <xdr:spPr>
        <a:xfrm flipH="1">
          <a:off x="1662633" y="5042814"/>
          <a:ext cx="371715" cy="828"/>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7274</xdr:colOff>
      <xdr:row>25</xdr:row>
      <xdr:rowOff>175682</xdr:rowOff>
    </xdr:from>
    <xdr:to>
      <xdr:col>6</xdr:col>
      <xdr:colOff>7274</xdr:colOff>
      <xdr:row>27</xdr:row>
      <xdr:rowOff>34997</xdr:rowOff>
    </xdr:to>
    <xdr:cxnSp macro="">
      <xdr:nvCxnSpPr>
        <xdr:cNvPr id="139" name="Straight Connector 138">
          <a:extLst>
            <a:ext uri="{FF2B5EF4-FFF2-40B4-BE49-F238E27FC236}">
              <a16:creationId xmlns:a16="http://schemas.microsoft.com/office/drawing/2014/main" id="{00000000-0008-0000-0200-00008B000000}"/>
            </a:ext>
          </a:extLst>
        </xdr:cNvPr>
        <xdr:cNvCxnSpPr/>
      </xdr:nvCxnSpPr>
      <xdr:spPr>
        <a:xfrm>
          <a:off x="3661654" y="4959647"/>
          <a:ext cx="0" cy="240315"/>
        </a:xfrm>
        <a:prstGeom prst="line">
          <a:avLst/>
        </a:prstGeom>
        <a:ln w="19050">
          <a:solidFill>
            <a:schemeClr val="accent5"/>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595256</xdr:colOff>
      <xdr:row>27</xdr:row>
      <xdr:rowOff>30785</xdr:rowOff>
    </xdr:from>
    <xdr:to>
      <xdr:col>6</xdr:col>
      <xdr:colOff>13929</xdr:colOff>
      <xdr:row>27</xdr:row>
      <xdr:rowOff>30785</xdr:rowOff>
    </xdr:to>
    <xdr:cxnSp macro="">
      <xdr:nvCxnSpPr>
        <xdr:cNvPr id="140" name="Straight Arrow Connector 139">
          <a:extLst>
            <a:ext uri="{FF2B5EF4-FFF2-40B4-BE49-F238E27FC236}">
              <a16:creationId xmlns:a16="http://schemas.microsoft.com/office/drawing/2014/main" id="{00000000-0008-0000-0200-00008C000000}"/>
            </a:ext>
          </a:extLst>
        </xdr:cNvPr>
        <xdr:cNvCxnSpPr/>
      </xdr:nvCxnSpPr>
      <xdr:spPr>
        <a:xfrm flipH="1">
          <a:off x="3031510" y="5195750"/>
          <a:ext cx="636799" cy="0"/>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70358</xdr:colOff>
      <xdr:row>26</xdr:row>
      <xdr:rowOff>165058</xdr:rowOff>
    </xdr:from>
    <xdr:to>
      <xdr:col>4</xdr:col>
      <xdr:colOff>590794</xdr:colOff>
      <xdr:row>28</xdr:row>
      <xdr:rowOff>83294</xdr:rowOff>
    </xdr:to>
    <xdr:sp macro="" textlink="">
      <xdr:nvSpPr>
        <xdr:cNvPr id="141" name="Rectangle 140">
          <a:extLst>
            <a:ext uri="{FF2B5EF4-FFF2-40B4-BE49-F238E27FC236}">
              <a16:creationId xmlns:a16="http://schemas.microsoft.com/office/drawing/2014/main" id="{00000000-0008-0000-0200-00008D000000}"/>
            </a:ext>
          </a:extLst>
        </xdr:cNvPr>
        <xdr:cNvSpPr/>
      </xdr:nvSpPr>
      <xdr:spPr>
        <a:xfrm>
          <a:off x="2506612" y="5139523"/>
          <a:ext cx="520436" cy="2992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600"/>
            <a:t>IP</a:t>
          </a:r>
          <a:r>
            <a:rPr lang="en-US" sz="600" baseline="0"/>
            <a:t> Bus Clock Sync Bridge</a:t>
          </a:r>
          <a:endParaRPr lang="en-US" sz="600"/>
        </a:p>
      </xdr:txBody>
    </xdr:sp>
    <xdr:clientData/>
  </xdr:twoCellAnchor>
  <xdr:twoCellAnchor>
    <xdr:from>
      <xdr:col>4</xdr:col>
      <xdr:colOff>598844</xdr:colOff>
      <xdr:row>28</xdr:row>
      <xdr:rowOff>15037</xdr:rowOff>
    </xdr:from>
    <xdr:to>
      <xdr:col>6</xdr:col>
      <xdr:colOff>317119</xdr:colOff>
      <xdr:row>28</xdr:row>
      <xdr:rowOff>15037</xdr:rowOff>
    </xdr:to>
    <xdr:cxnSp macro="">
      <xdr:nvCxnSpPr>
        <xdr:cNvPr id="142" name="Straight Arrow Connector 141">
          <a:extLst>
            <a:ext uri="{FF2B5EF4-FFF2-40B4-BE49-F238E27FC236}">
              <a16:creationId xmlns:a16="http://schemas.microsoft.com/office/drawing/2014/main" id="{00000000-0008-0000-0200-00008E000000}"/>
            </a:ext>
          </a:extLst>
        </xdr:cNvPr>
        <xdr:cNvCxnSpPr/>
      </xdr:nvCxnSpPr>
      <xdr:spPr>
        <a:xfrm flipH="1">
          <a:off x="3035098" y="5370502"/>
          <a:ext cx="936401"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465074</xdr:colOff>
      <xdr:row>28</xdr:row>
      <xdr:rowOff>69879</xdr:rowOff>
    </xdr:from>
    <xdr:to>
      <xdr:col>4</xdr:col>
      <xdr:colOff>59542</xdr:colOff>
      <xdr:row>28</xdr:row>
      <xdr:rowOff>69981</xdr:rowOff>
    </xdr:to>
    <xdr:cxnSp macro="">
      <xdr:nvCxnSpPr>
        <xdr:cNvPr id="143" name="Straight Arrow Connector 142">
          <a:extLst>
            <a:ext uri="{FF2B5EF4-FFF2-40B4-BE49-F238E27FC236}">
              <a16:creationId xmlns:a16="http://schemas.microsoft.com/office/drawing/2014/main" id="{00000000-0008-0000-0200-00008F000000}"/>
            </a:ext>
          </a:extLst>
        </xdr:cNvPr>
        <xdr:cNvCxnSpPr>
          <a:endCxn id="22" idx="3"/>
        </xdr:cNvCxnSpPr>
      </xdr:nvCxnSpPr>
      <xdr:spPr>
        <a:xfrm flipH="1">
          <a:off x="1683201" y="5425344"/>
          <a:ext cx="812595" cy="1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445651</xdr:colOff>
      <xdr:row>30</xdr:row>
      <xdr:rowOff>161356</xdr:rowOff>
    </xdr:from>
    <xdr:to>
      <xdr:col>6</xdr:col>
      <xdr:colOff>305629</xdr:colOff>
      <xdr:row>30</xdr:row>
      <xdr:rowOff>162482</xdr:rowOff>
    </xdr:to>
    <xdr:cxnSp macro="">
      <xdr:nvCxnSpPr>
        <xdr:cNvPr id="75" name="Straight Arrow Connector 74">
          <a:extLst>
            <a:ext uri="{FF2B5EF4-FFF2-40B4-BE49-F238E27FC236}">
              <a16:creationId xmlns:a16="http://schemas.microsoft.com/office/drawing/2014/main" id="{00000000-0008-0000-0200-00004B000000}"/>
            </a:ext>
          </a:extLst>
        </xdr:cNvPr>
        <xdr:cNvCxnSpPr>
          <a:endCxn id="25" idx="3"/>
        </xdr:cNvCxnSpPr>
      </xdr:nvCxnSpPr>
      <xdr:spPr>
        <a:xfrm flipH="1" flipV="1">
          <a:off x="1667479" y="5889494"/>
          <a:ext cx="2303633" cy="112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450486</xdr:colOff>
      <xdr:row>31</xdr:row>
      <xdr:rowOff>59211</xdr:rowOff>
    </xdr:from>
    <xdr:to>
      <xdr:col>3</xdr:col>
      <xdr:colOff>210381</xdr:colOff>
      <xdr:row>31</xdr:row>
      <xdr:rowOff>60153</xdr:rowOff>
    </xdr:to>
    <xdr:cxnSp macro="">
      <xdr:nvCxnSpPr>
        <xdr:cNvPr id="77" name="Straight Arrow Connector 76">
          <a:extLst>
            <a:ext uri="{FF2B5EF4-FFF2-40B4-BE49-F238E27FC236}">
              <a16:creationId xmlns:a16="http://schemas.microsoft.com/office/drawing/2014/main" id="{00000000-0008-0000-0200-00004D000000}"/>
            </a:ext>
          </a:extLst>
        </xdr:cNvPr>
        <xdr:cNvCxnSpPr>
          <a:endCxn id="26" idx="3"/>
        </xdr:cNvCxnSpPr>
      </xdr:nvCxnSpPr>
      <xdr:spPr>
        <a:xfrm flipH="1">
          <a:off x="1672314" y="5977849"/>
          <a:ext cx="370808" cy="942"/>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200352</xdr:colOff>
      <xdr:row>30</xdr:row>
      <xdr:rowOff>168565</xdr:rowOff>
    </xdr:from>
    <xdr:to>
      <xdr:col>3</xdr:col>
      <xdr:colOff>200352</xdr:colOff>
      <xdr:row>31</xdr:row>
      <xdr:rowOff>53262</xdr:rowOff>
    </xdr:to>
    <xdr:cxnSp macro="">
      <xdr:nvCxnSpPr>
        <xdr:cNvPr id="78" name="Straight Connector 77">
          <a:extLst>
            <a:ext uri="{FF2B5EF4-FFF2-40B4-BE49-F238E27FC236}">
              <a16:creationId xmlns:a16="http://schemas.microsoft.com/office/drawing/2014/main" id="{00000000-0008-0000-0200-00004E000000}"/>
            </a:ext>
          </a:extLst>
        </xdr:cNvPr>
        <xdr:cNvCxnSpPr/>
      </xdr:nvCxnSpPr>
      <xdr:spPr>
        <a:xfrm>
          <a:off x="2033093" y="5896703"/>
          <a:ext cx="0" cy="75197"/>
        </a:xfrm>
        <a:prstGeom prst="line">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442714</xdr:colOff>
      <xdr:row>35</xdr:row>
      <xdr:rowOff>158348</xdr:rowOff>
    </xdr:from>
    <xdr:to>
      <xdr:col>3</xdr:col>
      <xdr:colOff>599873</xdr:colOff>
      <xdr:row>35</xdr:row>
      <xdr:rowOff>158348</xdr:rowOff>
    </xdr:to>
    <xdr:cxnSp macro="">
      <xdr:nvCxnSpPr>
        <xdr:cNvPr id="79" name="Straight Arrow Connector 78">
          <a:extLst>
            <a:ext uri="{FF2B5EF4-FFF2-40B4-BE49-F238E27FC236}">
              <a16:creationId xmlns:a16="http://schemas.microsoft.com/office/drawing/2014/main" id="{00000000-0008-0000-0200-00004F000000}"/>
            </a:ext>
          </a:extLst>
        </xdr:cNvPr>
        <xdr:cNvCxnSpPr>
          <a:endCxn id="30" idx="3"/>
        </xdr:cNvCxnSpPr>
      </xdr:nvCxnSpPr>
      <xdr:spPr>
        <a:xfrm flipH="1">
          <a:off x="1658671" y="6842061"/>
          <a:ext cx="765138"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378222</xdr:colOff>
      <xdr:row>32</xdr:row>
      <xdr:rowOff>81094</xdr:rowOff>
    </xdr:from>
    <xdr:ext cx="1057275" cy="419101"/>
    <xdr:sp macro="" textlink="">
      <xdr:nvSpPr>
        <xdr:cNvPr id="88" name="TextBox 87">
          <a:hlinkClick xmlns:r="http://schemas.openxmlformats.org/officeDocument/2006/relationships" r:id="rId5"/>
          <a:extLst>
            <a:ext uri="{FF2B5EF4-FFF2-40B4-BE49-F238E27FC236}">
              <a16:creationId xmlns:a16="http://schemas.microsoft.com/office/drawing/2014/main" id="{00000000-0008-0000-0200-000058000000}"/>
            </a:ext>
          </a:extLst>
        </xdr:cNvPr>
        <xdr:cNvSpPr txBox="1"/>
      </xdr:nvSpPr>
      <xdr:spPr>
        <a:xfrm>
          <a:off x="2810137" y="619330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CAN_CLK</a:t>
          </a:r>
        </a:p>
      </xdr:txBody>
    </xdr:sp>
    <xdr:clientData/>
  </xdr:oneCellAnchor>
  <xdr:twoCellAnchor>
    <xdr:from>
      <xdr:col>3</xdr:col>
      <xdr:colOff>205104</xdr:colOff>
      <xdr:row>35</xdr:row>
      <xdr:rowOff>165490</xdr:rowOff>
    </xdr:from>
    <xdr:to>
      <xdr:col>3</xdr:col>
      <xdr:colOff>205104</xdr:colOff>
      <xdr:row>36</xdr:row>
      <xdr:rowOff>50187</xdr:rowOff>
    </xdr:to>
    <xdr:cxnSp macro="">
      <xdr:nvCxnSpPr>
        <xdr:cNvPr id="92" name="Straight Connector 91">
          <a:extLst>
            <a:ext uri="{FF2B5EF4-FFF2-40B4-BE49-F238E27FC236}">
              <a16:creationId xmlns:a16="http://schemas.microsoft.com/office/drawing/2014/main" id="{00000000-0008-0000-0200-00005C000000}"/>
            </a:ext>
          </a:extLst>
        </xdr:cNvPr>
        <xdr:cNvCxnSpPr/>
      </xdr:nvCxnSpPr>
      <xdr:spPr>
        <a:xfrm>
          <a:off x="2029040" y="6849203"/>
          <a:ext cx="0" cy="75197"/>
        </a:xfrm>
        <a:prstGeom prst="line">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447536</xdr:colOff>
      <xdr:row>36</xdr:row>
      <xdr:rowOff>56136</xdr:rowOff>
    </xdr:from>
    <xdr:to>
      <xdr:col>3</xdr:col>
      <xdr:colOff>216252</xdr:colOff>
      <xdr:row>36</xdr:row>
      <xdr:rowOff>57145</xdr:rowOff>
    </xdr:to>
    <xdr:cxnSp macro="">
      <xdr:nvCxnSpPr>
        <xdr:cNvPr id="93" name="Straight Arrow Connector 92">
          <a:extLst>
            <a:ext uri="{FF2B5EF4-FFF2-40B4-BE49-F238E27FC236}">
              <a16:creationId xmlns:a16="http://schemas.microsoft.com/office/drawing/2014/main" id="{00000000-0008-0000-0200-00005D000000}"/>
            </a:ext>
          </a:extLst>
        </xdr:cNvPr>
        <xdr:cNvCxnSpPr>
          <a:endCxn id="31" idx="3"/>
        </xdr:cNvCxnSpPr>
      </xdr:nvCxnSpPr>
      <xdr:spPr>
        <a:xfrm flipH="1">
          <a:off x="1663493" y="6930349"/>
          <a:ext cx="376695" cy="1009"/>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471091</xdr:colOff>
      <xdr:row>33</xdr:row>
      <xdr:rowOff>60798</xdr:rowOff>
    </xdr:from>
    <xdr:to>
      <xdr:col>4</xdr:col>
      <xdr:colOff>0</xdr:colOff>
      <xdr:row>33</xdr:row>
      <xdr:rowOff>60957</xdr:rowOff>
    </xdr:to>
    <xdr:cxnSp macro="">
      <xdr:nvCxnSpPr>
        <xdr:cNvPr id="94" name="Straight Arrow Connector 93">
          <a:extLst>
            <a:ext uri="{FF2B5EF4-FFF2-40B4-BE49-F238E27FC236}">
              <a16:creationId xmlns:a16="http://schemas.microsoft.com/office/drawing/2014/main" id="{00000000-0008-0000-0200-00005E000000}"/>
            </a:ext>
          </a:extLst>
        </xdr:cNvPr>
        <xdr:cNvCxnSpPr>
          <a:endCxn id="27" idx="3"/>
        </xdr:cNvCxnSpPr>
      </xdr:nvCxnSpPr>
      <xdr:spPr>
        <a:xfrm flipH="1">
          <a:off x="1687048" y="6363511"/>
          <a:ext cx="744867" cy="1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389106</xdr:colOff>
      <xdr:row>34</xdr:row>
      <xdr:rowOff>89170</xdr:rowOff>
    </xdr:from>
    <xdr:ext cx="1057275" cy="419101"/>
    <xdr:sp macro="" textlink="">
      <xdr:nvSpPr>
        <xdr:cNvPr id="97" name="TextBox 96">
          <a:hlinkClick xmlns:r="http://schemas.openxmlformats.org/officeDocument/2006/relationships" r:id="rId6"/>
          <a:extLst>
            <a:ext uri="{FF2B5EF4-FFF2-40B4-BE49-F238E27FC236}">
              <a16:creationId xmlns:a16="http://schemas.microsoft.com/office/drawing/2014/main" id="{00000000-0008-0000-0200-000061000000}"/>
            </a:ext>
          </a:extLst>
        </xdr:cNvPr>
        <xdr:cNvSpPr txBox="1"/>
      </xdr:nvSpPr>
      <xdr:spPr>
        <a:xfrm>
          <a:off x="2821021" y="658238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SGEN_CLK</a:t>
          </a:r>
        </a:p>
      </xdr:txBody>
    </xdr:sp>
    <xdr:clientData/>
  </xdr:oneCellAnchor>
  <xdr:twoCellAnchor>
    <xdr:from>
      <xdr:col>2</xdr:col>
      <xdr:colOff>468083</xdr:colOff>
      <xdr:row>38</xdr:row>
      <xdr:rowOff>57949</xdr:rowOff>
    </xdr:from>
    <xdr:to>
      <xdr:col>12</xdr:col>
      <xdr:colOff>316298</xdr:colOff>
      <xdr:row>38</xdr:row>
      <xdr:rowOff>60039</xdr:rowOff>
    </xdr:to>
    <xdr:cxnSp macro="">
      <xdr:nvCxnSpPr>
        <xdr:cNvPr id="84" name="Straight Arrow Connector 83">
          <a:extLst>
            <a:ext uri="{FF2B5EF4-FFF2-40B4-BE49-F238E27FC236}">
              <a16:creationId xmlns:a16="http://schemas.microsoft.com/office/drawing/2014/main" id="{00000000-0008-0000-0200-000054000000}"/>
            </a:ext>
          </a:extLst>
        </xdr:cNvPr>
        <xdr:cNvCxnSpPr>
          <a:endCxn id="32" idx="3"/>
        </xdr:cNvCxnSpPr>
      </xdr:nvCxnSpPr>
      <xdr:spPr>
        <a:xfrm flipH="1" flipV="1">
          <a:off x="1682521" y="7320762"/>
          <a:ext cx="5920402" cy="2090"/>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452028</xdr:colOff>
      <xdr:row>40</xdr:row>
      <xdr:rowOff>138705</xdr:rowOff>
    </xdr:from>
    <xdr:to>
      <xdr:col>12</xdr:col>
      <xdr:colOff>319332</xdr:colOff>
      <xdr:row>40</xdr:row>
      <xdr:rowOff>143162</xdr:rowOff>
    </xdr:to>
    <xdr:cxnSp macro="">
      <xdr:nvCxnSpPr>
        <xdr:cNvPr id="89" name="Straight Arrow Connector 88">
          <a:extLst>
            <a:ext uri="{FF2B5EF4-FFF2-40B4-BE49-F238E27FC236}">
              <a16:creationId xmlns:a16="http://schemas.microsoft.com/office/drawing/2014/main" id="{00000000-0008-0000-0200-000059000000}"/>
            </a:ext>
          </a:extLst>
        </xdr:cNvPr>
        <xdr:cNvCxnSpPr/>
      </xdr:nvCxnSpPr>
      <xdr:spPr>
        <a:xfrm flipH="1" flipV="1">
          <a:off x="1672960" y="7776023"/>
          <a:ext cx="5971963" cy="4457"/>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210262</xdr:colOff>
      <xdr:row>40</xdr:row>
      <xdr:rowOff>138545</xdr:rowOff>
    </xdr:from>
    <xdr:to>
      <xdr:col>3</xdr:col>
      <xdr:colOff>210262</xdr:colOff>
      <xdr:row>41</xdr:row>
      <xdr:rowOff>61104</xdr:rowOff>
    </xdr:to>
    <xdr:cxnSp macro="">
      <xdr:nvCxnSpPr>
        <xdr:cNvPr id="90" name="Straight Connector 89">
          <a:extLst>
            <a:ext uri="{FF2B5EF4-FFF2-40B4-BE49-F238E27FC236}">
              <a16:creationId xmlns:a16="http://schemas.microsoft.com/office/drawing/2014/main" id="{00000000-0008-0000-0200-00005A000000}"/>
            </a:ext>
          </a:extLst>
        </xdr:cNvPr>
        <xdr:cNvCxnSpPr/>
      </xdr:nvCxnSpPr>
      <xdr:spPr>
        <a:xfrm>
          <a:off x="2043375" y="7780111"/>
          <a:ext cx="0" cy="113059"/>
        </a:xfrm>
        <a:prstGeom prst="line">
          <a:avLst/>
        </a:prstGeom>
        <a:ln w="19050">
          <a:solidFill>
            <a:schemeClr val="accent5"/>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439467</xdr:colOff>
      <xdr:row>41</xdr:row>
      <xdr:rowOff>59150</xdr:rowOff>
    </xdr:from>
    <xdr:to>
      <xdr:col>3</xdr:col>
      <xdr:colOff>216477</xdr:colOff>
      <xdr:row>41</xdr:row>
      <xdr:rowOff>60614</xdr:rowOff>
    </xdr:to>
    <xdr:cxnSp macro="">
      <xdr:nvCxnSpPr>
        <xdr:cNvPr id="96" name="Straight Arrow Connector 95">
          <a:extLst>
            <a:ext uri="{FF2B5EF4-FFF2-40B4-BE49-F238E27FC236}">
              <a16:creationId xmlns:a16="http://schemas.microsoft.com/office/drawing/2014/main" id="{00000000-0008-0000-0200-000060000000}"/>
            </a:ext>
          </a:extLst>
        </xdr:cNvPr>
        <xdr:cNvCxnSpPr>
          <a:endCxn id="36" idx="3"/>
        </xdr:cNvCxnSpPr>
      </xdr:nvCxnSpPr>
      <xdr:spPr>
        <a:xfrm flipH="1" flipV="1">
          <a:off x="1660399" y="7886968"/>
          <a:ext cx="387476" cy="1464"/>
        </a:xfrm>
        <a:prstGeom prst="straightConnector1">
          <a:avLst/>
        </a:prstGeom>
        <a:ln w="19050">
          <a:solidFill>
            <a:schemeClr val="accent5"/>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460062</xdr:colOff>
      <xdr:row>43</xdr:row>
      <xdr:rowOff>55756</xdr:rowOff>
    </xdr:from>
    <xdr:to>
      <xdr:col>6</xdr:col>
      <xdr:colOff>315952</xdr:colOff>
      <xdr:row>43</xdr:row>
      <xdr:rowOff>59954</xdr:rowOff>
    </xdr:to>
    <xdr:cxnSp macro="">
      <xdr:nvCxnSpPr>
        <xdr:cNvPr id="99" name="Straight Arrow Connector 98">
          <a:extLst>
            <a:ext uri="{FF2B5EF4-FFF2-40B4-BE49-F238E27FC236}">
              <a16:creationId xmlns:a16="http://schemas.microsoft.com/office/drawing/2014/main" id="{00000000-0008-0000-0200-000063000000}"/>
            </a:ext>
          </a:extLst>
        </xdr:cNvPr>
        <xdr:cNvCxnSpPr>
          <a:endCxn id="37" idx="3"/>
        </xdr:cNvCxnSpPr>
      </xdr:nvCxnSpPr>
      <xdr:spPr>
        <a:xfrm flipH="1">
          <a:off x="1677403" y="8265841"/>
          <a:ext cx="2290573" cy="4198"/>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441623</xdr:colOff>
      <xdr:row>45</xdr:row>
      <xdr:rowOff>155408</xdr:rowOff>
    </xdr:from>
    <xdr:to>
      <xdr:col>6</xdr:col>
      <xdr:colOff>320842</xdr:colOff>
      <xdr:row>45</xdr:row>
      <xdr:rowOff>162358</xdr:rowOff>
    </xdr:to>
    <xdr:cxnSp macro="">
      <xdr:nvCxnSpPr>
        <xdr:cNvPr id="102" name="Straight Arrow Connector 101">
          <a:extLst>
            <a:ext uri="{FF2B5EF4-FFF2-40B4-BE49-F238E27FC236}">
              <a16:creationId xmlns:a16="http://schemas.microsoft.com/office/drawing/2014/main" id="{00000000-0008-0000-0200-000066000000}"/>
            </a:ext>
          </a:extLst>
        </xdr:cNvPr>
        <xdr:cNvCxnSpPr>
          <a:endCxn id="40" idx="3"/>
        </xdr:cNvCxnSpPr>
      </xdr:nvCxnSpPr>
      <xdr:spPr>
        <a:xfrm flipH="1">
          <a:off x="1664834" y="8747961"/>
          <a:ext cx="2325640"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446462</xdr:colOff>
      <xdr:row>46</xdr:row>
      <xdr:rowOff>60919</xdr:rowOff>
    </xdr:from>
    <xdr:to>
      <xdr:col>3</xdr:col>
      <xdr:colOff>214393</xdr:colOff>
      <xdr:row>46</xdr:row>
      <xdr:rowOff>61155</xdr:rowOff>
    </xdr:to>
    <xdr:cxnSp macro="">
      <xdr:nvCxnSpPr>
        <xdr:cNvPr id="109" name="Straight Arrow Connector 108">
          <a:extLst>
            <a:ext uri="{FF2B5EF4-FFF2-40B4-BE49-F238E27FC236}">
              <a16:creationId xmlns:a16="http://schemas.microsoft.com/office/drawing/2014/main" id="{00000000-0008-0000-0200-00006D000000}"/>
            </a:ext>
          </a:extLst>
        </xdr:cNvPr>
        <xdr:cNvCxnSpPr>
          <a:endCxn id="41" idx="3"/>
        </xdr:cNvCxnSpPr>
      </xdr:nvCxnSpPr>
      <xdr:spPr>
        <a:xfrm flipH="1">
          <a:off x="1665662" y="8846779"/>
          <a:ext cx="377531" cy="23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204363</xdr:colOff>
      <xdr:row>45</xdr:row>
      <xdr:rowOff>170273</xdr:rowOff>
    </xdr:from>
    <xdr:to>
      <xdr:col>3</xdr:col>
      <xdr:colOff>204363</xdr:colOff>
      <xdr:row>46</xdr:row>
      <xdr:rowOff>54970</xdr:rowOff>
    </xdr:to>
    <xdr:cxnSp macro="">
      <xdr:nvCxnSpPr>
        <xdr:cNvPr id="110" name="Straight Connector 109">
          <a:extLst>
            <a:ext uri="{FF2B5EF4-FFF2-40B4-BE49-F238E27FC236}">
              <a16:creationId xmlns:a16="http://schemas.microsoft.com/office/drawing/2014/main" id="{00000000-0008-0000-0200-00006E000000}"/>
            </a:ext>
          </a:extLst>
        </xdr:cNvPr>
        <xdr:cNvCxnSpPr/>
      </xdr:nvCxnSpPr>
      <xdr:spPr>
        <a:xfrm>
          <a:off x="2033163" y="8765633"/>
          <a:ext cx="0" cy="75197"/>
        </a:xfrm>
        <a:prstGeom prst="line">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16844</xdr:colOff>
      <xdr:row>50</xdr:row>
      <xdr:rowOff>12815</xdr:rowOff>
    </xdr:from>
    <xdr:to>
      <xdr:col>2</xdr:col>
      <xdr:colOff>421536</xdr:colOff>
      <xdr:row>53</xdr:row>
      <xdr:rowOff>176010</xdr:rowOff>
    </xdr:to>
    <xdr:sp macro="" textlink="">
      <xdr:nvSpPr>
        <xdr:cNvPr id="115" name="Rectangle 114">
          <a:extLst>
            <a:ext uri="{FF2B5EF4-FFF2-40B4-BE49-F238E27FC236}">
              <a16:creationId xmlns:a16="http://schemas.microsoft.com/office/drawing/2014/main" id="{00000000-0008-0000-0200-000073000000}"/>
            </a:ext>
          </a:extLst>
        </xdr:cNvPr>
        <xdr:cNvSpPr/>
      </xdr:nvSpPr>
      <xdr:spPr>
        <a:xfrm>
          <a:off x="626444" y="9560675"/>
          <a:ext cx="1014292"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SWT_0</a:t>
          </a:r>
          <a:endParaRPr lang="en-US" sz="1100"/>
        </a:p>
      </xdr:txBody>
    </xdr:sp>
    <xdr:clientData/>
  </xdr:twoCellAnchor>
  <xdr:twoCellAnchor>
    <xdr:from>
      <xdr:col>15</xdr:col>
      <xdr:colOff>321810</xdr:colOff>
      <xdr:row>6</xdr:row>
      <xdr:rowOff>13436</xdr:rowOff>
    </xdr:from>
    <xdr:to>
      <xdr:col>15</xdr:col>
      <xdr:colOff>321810</xdr:colOff>
      <xdr:row>113</xdr:row>
      <xdr:rowOff>6569</xdr:rowOff>
    </xdr:to>
    <xdr:cxnSp macro="">
      <xdr:nvCxnSpPr>
        <xdr:cNvPr id="118" name="Straight Arrow Connector 117">
          <a:extLst>
            <a:ext uri="{FF2B5EF4-FFF2-40B4-BE49-F238E27FC236}">
              <a16:creationId xmlns:a16="http://schemas.microsoft.com/office/drawing/2014/main" id="{00000000-0008-0000-0200-000076000000}"/>
            </a:ext>
          </a:extLst>
        </xdr:cNvPr>
        <xdr:cNvCxnSpPr/>
      </xdr:nvCxnSpPr>
      <xdr:spPr>
        <a:xfrm flipV="1">
          <a:off x="9485517" y="1169574"/>
          <a:ext cx="0" cy="20376633"/>
        </a:xfrm>
        <a:prstGeom prst="straightConnector1">
          <a:avLst/>
        </a:prstGeom>
        <a:ln w="19050">
          <a:solidFill>
            <a:schemeClr val="accent6"/>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459681</xdr:colOff>
      <xdr:row>3</xdr:row>
      <xdr:rowOff>165081</xdr:rowOff>
    </xdr:from>
    <xdr:ext cx="942975" cy="257176"/>
    <xdr:sp macro="" textlink="">
      <xdr:nvSpPr>
        <xdr:cNvPr id="119" name="TextBox 118">
          <a:hlinkClick xmlns:r="http://schemas.openxmlformats.org/officeDocument/2006/relationships" r:id="rId7"/>
          <a:extLst>
            <a:ext uri="{FF2B5EF4-FFF2-40B4-BE49-F238E27FC236}">
              <a16:creationId xmlns:a16="http://schemas.microsoft.com/office/drawing/2014/main" id="{00000000-0008-0000-0200-000077000000}"/>
            </a:ext>
          </a:extLst>
        </xdr:cNvPr>
        <xdr:cNvSpPr txBox="1"/>
      </xdr:nvSpPr>
      <xdr:spPr>
        <a:xfrm>
          <a:off x="8931328" y="736581"/>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IRCOSC</a:t>
          </a:r>
        </a:p>
      </xdr:txBody>
    </xdr:sp>
    <xdr:clientData/>
  </xdr:oneCellAnchor>
  <xdr:twoCellAnchor>
    <xdr:from>
      <xdr:col>2</xdr:col>
      <xdr:colOff>443006</xdr:colOff>
      <xdr:row>51</xdr:row>
      <xdr:rowOff>30949</xdr:rowOff>
    </xdr:from>
    <xdr:to>
      <xdr:col>6</xdr:col>
      <xdr:colOff>322225</xdr:colOff>
      <xdr:row>51</xdr:row>
      <xdr:rowOff>37899</xdr:rowOff>
    </xdr:to>
    <xdr:cxnSp macro="">
      <xdr:nvCxnSpPr>
        <xdr:cNvPr id="123" name="Straight Arrow Connector 122">
          <a:extLst>
            <a:ext uri="{FF2B5EF4-FFF2-40B4-BE49-F238E27FC236}">
              <a16:creationId xmlns:a16="http://schemas.microsoft.com/office/drawing/2014/main" id="{00000000-0008-0000-0200-00007B000000}"/>
            </a:ext>
          </a:extLst>
        </xdr:cNvPr>
        <xdr:cNvCxnSpPr/>
      </xdr:nvCxnSpPr>
      <xdr:spPr>
        <a:xfrm flipH="1">
          <a:off x="1664834" y="9759587"/>
          <a:ext cx="2322874"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450888</xdr:colOff>
      <xdr:row>52</xdr:row>
      <xdr:rowOff>157455</xdr:rowOff>
    </xdr:from>
    <xdr:to>
      <xdr:col>15</xdr:col>
      <xdr:colOff>321879</xdr:colOff>
      <xdr:row>52</xdr:row>
      <xdr:rowOff>157455</xdr:rowOff>
    </xdr:to>
    <xdr:cxnSp macro="">
      <xdr:nvCxnSpPr>
        <xdr:cNvPr id="125" name="Straight Arrow Connector 124">
          <a:extLst>
            <a:ext uri="{FF2B5EF4-FFF2-40B4-BE49-F238E27FC236}">
              <a16:creationId xmlns:a16="http://schemas.microsoft.com/office/drawing/2014/main" id="{00000000-0008-0000-0200-00007D000000}"/>
            </a:ext>
          </a:extLst>
        </xdr:cNvPr>
        <xdr:cNvCxnSpPr/>
      </xdr:nvCxnSpPr>
      <xdr:spPr>
        <a:xfrm flipH="1">
          <a:off x="1672716" y="10076593"/>
          <a:ext cx="7812870" cy="0"/>
        </a:xfrm>
        <a:prstGeom prst="straightConnector1">
          <a:avLst/>
        </a:prstGeom>
        <a:ln w="19050">
          <a:solidFill>
            <a:schemeClr val="accent6"/>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15530</xdr:colOff>
      <xdr:row>55</xdr:row>
      <xdr:rowOff>22542</xdr:rowOff>
    </xdr:from>
    <xdr:to>
      <xdr:col>2</xdr:col>
      <xdr:colOff>420222</xdr:colOff>
      <xdr:row>58</xdr:row>
      <xdr:rowOff>185737</xdr:rowOff>
    </xdr:to>
    <xdr:sp macro="" textlink="">
      <xdr:nvSpPr>
        <xdr:cNvPr id="126" name="Rectangle 125">
          <a:extLst>
            <a:ext uri="{FF2B5EF4-FFF2-40B4-BE49-F238E27FC236}">
              <a16:creationId xmlns:a16="http://schemas.microsoft.com/office/drawing/2014/main" id="{00000000-0008-0000-0200-00007E000000}"/>
            </a:ext>
          </a:extLst>
        </xdr:cNvPr>
        <xdr:cNvSpPr/>
      </xdr:nvSpPr>
      <xdr:spPr>
        <a:xfrm>
          <a:off x="626444" y="10513180"/>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SWT_1</a:t>
          </a:r>
          <a:endParaRPr lang="en-US" sz="1100"/>
        </a:p>
      </xdr:txBody>
    </xdr:sp>
    <xdr:clientData/>
  </xdr:twoCellAnchor>
  <xdr:twoCellAnchor>
    <xdr:from>
      <xdr:col>2</xdr:col>
      <xdr:colOff>444319</xdr:colOff>
      <xdr:row>55</xdr:row>
      <xdr:rowOff>183353</xdr:rowOff>
    </xdr:from>
    <xdr:to>
      <xdr:col>6</xdr:col>
      <xdr:colOff>323538</xdr:colOff>
      <xdr:row>55</xdr:row>
      <xdr:rowOff>190303</xdr:rowOff>
    </xdr:to>
    <xdr:cxnSp macro="">
      <xdr:nvCxnSpPr>
        <xdr:cNvPr id="127" name="Straight Arrow Connector 126">
          <a:extLst>
            <a:ext uri="{FF2B5EF4-FFF2-40B4-BE49-F238E27FC236}">
              <a16:creationId xmlns:a16="http://schemas.microsoft.com/office/drawing/2014/main" id="{00000000-0008-0000-0200-00007F000000}"/>
            </a:ext>
          </a:extLst>
        </xdr:cNvPr>
        <xdr:cNvCxnSpPr/>
      </xdr:nvCxnSpPr>
      <xdr:spPr>
        <a:xfrm flipH="1">
          <a:off x="1666147" y="10673991"/>
          <a:ext cx="2322874"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452201</xdr:colOff>
      <xdr:row>57</xdr:row>
      <xdr:rowOff>119359</xdr:rowOff>
    </xdr:from>
    <xdr:to>
      <xdr:col>15</xdr:col>
      <xdr:colOff>323192</xdr:colOff>
      <xdr:row>57</xdr:row>
      <xdr:rowOff>119359</xdr:rowOff>
    </xdr:to>
    <xdr:cxnSp macro="">
      <xdr:nvCxnSpPr>
        <xdr:cNvPr id="128" name="Straight Arrow Connector 127">
          <a:extLst>
            <a:ext uri="{FF2B5EF4-FFF2-40B4-BE49-F238E27FC236}">
              <a16:creationId xmlns:a16="http://schemas.microsoft.com/office/drawing/2014/main" id="{00000000-0008-0000-0200-000080000000}"/>
            </a:ext>
          </a:extLst>
        </xdr:cNvPr>
        <xdr:cNvCxnSpPr/>
      </xdr:nvCxnSpPr>
      <xdr:spPr>
        <a:xfrm flipH="1">
          <a:off x="1674029" y="10990997"/>
          <a:ext cx="7812870" cy="0"/>
        </a:xfrm>
        <a:prstGeom prst="straightConnector1">
          <a:avLst/>
        </a:prstGeom>
        <a:ln w="19050">
          <a:solidFill>
            <a:schemeClr val="accent6"/>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16843</xdr:colOff>
      <xdr:row>60</xdr:row>
      <xdr:rowOff>17291</xdr:rowOff>
    </xdr:from>
    <xdr:to>
      <xdr:col>2</xdr:col>
      <xdr:colOff>421535</xdr:colOff>
      <xdr:row>63</xdr:row>
      <xdr:rowOff>180486</xdr:rowOff>
    </xdr:to>
    <xdr:sp macro="" textlink="">
      <xdr:nvSpPr>
        <xdr:cNvPr id="129" name="Rectangle 128">
          <a:extLst>
            <a:ext uri="{FF2B5EF4-FFF2-40B4-BE49-F238E27FC236}">
              <a16:creationId xmlns:a16="http://schemas.microsoft.com/office/drawing/2014/main" id="{00000000-0008-0000-0200-000081000000}"/>
            </a:ext>
          </a:extLst>
        </xdr:cNvPr>
        <xdr:cNvSpPr/>
      </xdr:nvSpPr>
      <xdr:spPr>
        <a:xfrm>
          <a:off x="627757" y="11460429"/>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FCCU</a:t>
          </a:r>
          <a:endParaRPr lang="en-US" sz="1100"/>
        </a:p>
      </xdr:txBody>
    </xdr:sp>
    <xdr:clientData/>
  </xdr:twoCellAnchor>
  <xdr:twoCellAnchor>
    <xdr:from>
      <xdr:col>2</xdr:col>
      <xdr:colOff>445632</xdr:colOff>
      <xdr:row>60</xdr:row>
      <xdr:rowOff>178102</xdr:rowOff>
    </xdr:from>
    <xdr:to>
      <xdr:col>6</xdr:col>
      <xdr:colOff>324851</xdr:colOff>
      <xdr:row>60</xdr:row>
      <xdr:rowOff>185052</xdr:rowOff>
    </xdr:to>
    <xdr:cxnSp macro="">
      <xdr:nvCxnSpPr>
        <xdr:cNvPr id="131" name="Straight Arrow Connector 130">
          <a:extLst>
            <a:ext uri="{FF2B5EF4-FFF2-40B4-BE49-F238E27FC236}">
              <a16:creationId xmlns:a16="http://schemas.microsoft.com/office/drawing/2014/main" id="{00000000-0008-0000-0200-000083000000}"/>
            </a:ext>
          </a:extLst>
        </xdr:cNvPr>
        <xdr:cNvCxnSpPr/>
      </xdr:nvCxnSpPr>
      <xdr:spPr>
        <a:xfrm flipH="1">
          <a:off x="1667460" y="11621240"/>
          <a:ext cx="2322874"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453514</xdr:colOff>
      <xdr:row>62</xdr:row>
      <xdr:rowOff>114108</xdr:rowOff>
    </xdr:from>
    <xdr:to>
      <xdr:col>15</xdr:col>
      <xdr:colOff>324505</xdr:colOff>
      <xdr:row>62</xdr:row>
      <xdr:rowOff>114108</xdr:rowOff>
    </xdr:to>
    <xdr:cxnSp macro="">
      <xdr:nvCxnSpPr>
        <xdr:cNvPr id="132" name="Straight Arrow Connector 131">
          <a:extLst>
            <a:ext uri="{FF2B5EF4-FFF2-40B4-BE49-F238E27FC236}">
              <a16:creationId xmlns:a16="http://schemas.microsoft.com/office/drawing/2014/main" id="{00000000-0008-0000-0200-000084000000}"/>
            </a:ext>
          </a:extLst>
        </xdr:cNvPr>
        <xdr:cNvCxnSpPr/>
      </xdr:nvCxnSpPr>
      <xdr:spPr>
        <a:xfrm flipH="1">
          <a:off x="1675342" y="11938246"/>
          <a:ext cx="7812870" cy="0"/>
        </a:xfrm>
        <a:prstGeom prst="straightConnector1">
          <a:avLst/>
        </a:prstGeom>
        <a:ln w="19050">
          <a:solidFill>
            <a:schemeClr val="accent6"/>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18156</xdr:colOff>
      <xdr:row>65</xdr:row>
      <xdr:rowOff>18609</xdr:rowOff>
    </xdr:from>
    <xdr:to>
      <xdr:col>2</xdr:col>
      <xdr:colOff>422848</xdr:colOff>
      <xdr:row>68</xdr:row>
      <xdr:rowOff>181804</xdr:rowOff>
    </xdr:to>
    <xdr:sp macro="" textlink="">
      <xdr:nvSpPr>
        <xdr:cNvPr id="134" name="Rectangle 133">
          <a:extLst>
            <a:ext uri="{FF2B5EF4-FFF2-40B4-BE49-F238E27FC236}">
              <a16:creationId xmlns:a16="http://schemas.microsoft.com/office/drawing/2014/main" id="{00000000-0008-0000-0200-000086000000}"/>
            </a:ext>
          </a:extLst>
        </xdr:cNvPr>
        <xdr:cNvSpPr/>
      </xdr:nvSpPr>
      <xdr:spPr>
        <a:xfrm>
          <a:off x="629070" y="12414247"/>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CRC</a:t>
          </a:r>
          <a:endParaRPr lang="en-US" sz="1100"/>
        </a:p>
      </xdr:txBody>
    </xdr:sp>
    <xdr:clientData/>
  </xdr:twoCellAnchor>
  <xdr:twoCellAnchor>
    <xdr:from>
      <xdr:col>2</xdr:col>
      <xdr:colOff>446945</xdr:colOff>
      <xdr:row>65</xdr:row>
      <xdr:rowOff>179420</xdr:rowOff>
    </xdr:from>
    <xdr:to>
      <xdr:col>6</xdr:col>
      <xdr:colOff>326164</xdr:colOff>
      <xdr:row>65</xdr:row>
      <xdr:rowOff>186370</xdr:rowOff>
    </xdr:to>
    <xdr:cxnSp macro="">
      <xdr:nvCxnSpPr>
        <xdr:cNvPr id="135" name="Straight Arrow Connector 134">
          <a:extLst>
            <a:ext uri="{FF2B5EF4-FFF2-40B4-BE49-F238E27FC236}">
              <a16:creationId xmlns:a16="http://schemas.microsoft.com/office/drawing/2014/main" id="{00000000-0008-0000-0200-000087000000}"/>
            </a:ext>
          </a:extLst>
        </xdr:cNvPr>
        <xdr:cNvCxnSpPr/>
      </xdr:nvCxnSpPr>
      <xdr:spPr>
        <a:xfrm flipH="1">
          <a:off x="1668773" y="12575058"/>
          <a:ext cx="2322874"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448258</xdr:colOff>
      <xdr:row>70</xdr:row>
      <xdr:rowOff>154462</xdr:rowOff>
    </xdr:from>
    <xdr:to>
      <xdr:col>6</xdr:col>
      <xdr:colOff>327477</xdr:colOff>
      <xdr:row>70</xdr:row>
      <xdr:rowOff>161412</xdr:rowOff>
    </xdr:to>
    <xdr:cxnSp macro="">
      <xdr:nvCxnSpPr>
        <xdr:cNvPr id="145" name="Straight Arrow Connector 144">
          <a:extLst>
            <a:ext uri="{FF2B5EF4-FFF2-40B4-BE49-F238E27FC236}">
              <a16:creationId xmlns:a16="http://schemas.microsoft.com/office/drawing/2014/main" id="{00000000-0008-0000-0200-000091000000}"/>
            </a:ext>
          </a:extLst>
        </xdr:cNvPr>
        <xdr:cNvCxnSpPr/>
      </xdr:nvCxnSpPr>
      <xdr:spPr>
        <a:xfrm flipH="1">
          <a:off x="1670086" y="13502600"/>
          <a:ext cx="2322874" cy="695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438586</xdr:colOff>
      <xdr:row>73</xdr:row>
      <xdr:rowOff>33933</xdr:rowOff>
    </xdr:from>
    <xdr:to>
      <xdr:col>15</xdr:col>
      <xdr:colOff>328448</xdr:colOff>
      <xdr:row>73</xdr:row>
      <xdr:rowOff>33933</xdr:rowOff>
    </xdr:to>
    <xdr:cxnSp macro="">
      <xdr:nvCxnSpPr>
        <xdr:cNvPr id="146" name="Straight Arrow Connector 145">
          <a:extLst>
            <a:ext uri="{FF2B5EF4-FFF2-40B4-BE49-F238E27FC236}">
              <a16:creationId xmlns:a16="http://schemas.microsoft.com/office/drawing/2014/main" id="{00000000-0008-0000-0200-000092000000}"/>
            </a:ext>
          </a:extLst>
        </xdr:cNvPr>
        <xdr:cNvCxnSpPr>
          <a:endCxn id="147" idx="3"/>
        </xdr:cNvCxnSpPr>
      </xdr:nvCxnSpPr>
      <xdr:spPr>
        <a:xfrm flipH="1">
          <a:off x="1660414" y="13953571"/>
          <a:ext cx="7831741" cy="0"/>
        </a:xfrm>
        <a:prstGeom prst="straightConnector1">
          <a:avLst/>
        </a:prstGeom>
        <a:ln w="19050">
          <a:solidFill>
            <a:schemeClr val="accent6"/>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19469</xdr:colOff>
      <xdr:row>70</xdr:row>
      <xdr:rowOff>13358</xdr:rowOff>
    </xdr:from>
    <xdr:to>
      <xdr:col>2</xdr:col>
      <xdr:colOff>438586</xdr:colOff>
      <xdr:row>73</xdr:row>
      <xdr:rowOff>176553</xdr:rowOff>
    </xdr:to>
    <xdr:grpSp>
      <xdr:nvGrpSpPr>
        <xdr:cNvPr id="70" name="Group 69">
          <a:extLst>
            <a:ext uri="{FF2B5EF4-FFF2-40B4-BE49-F238E27FC236}">
              <a16:creationId xmlns:a16="http://schemas.microsoft.com/office/drawing/2014/main" id="{00000000-0008-0000-0200-000046000000}"/>
            </a:ext>
          </a:extLst>
        </xdr:cNvPr>
        <xdr:cNvGrpSpPr/>
      </xdr:nvGrpSpPr>
      <xdr:grpSpPr>
        <a:xfrm>
          <a:off x="623318" y="13096754"/>
          <a:ext cx="1022966" cy="723912"/>
          <a:chOff x="630383" y="13361496"/>
          <a:chExt cx="1030031" cy="734695"/>
        </a:xfrm>
      </xdr:grpSpPr>
      <xdr:sp macro="" textlink="">
        <xdr:nvSpPr>
          <xdr:cNvPr id="144" name="Rectangle 143">
            <a:extLst>
              <a:ext uri="{FF2B5EF4-FFF2-40B4-BE49-F238E27FC236}">
                <a16:creationId xmlns:a16="http://schemas.microsoft.com/office/drawing/2014/main" id="{00000000-0008-0000-0200-000090000000}"/>
              </a:ext>
            </a:extLst>
          </xdr:cNvPr>
          <xdr:cNvSpPr/>
        </xdr:nvSpPr>
        <xdr:spPr>
          <a:xfrm>
            <a:off x="630383" y="13361496"/>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SIUL</a:t>
            </a:r>
            <a:endParaRPr lang="en-US" sz="1100"/>
          </a:p>
        </xdr:txBody>
      </xdr:sp>
      <xdr:sp macro="" textlink="">
        <xdr:nvSpPr>
          <xdr:cNvPr id="147" name="TextBox 146">
            <a:extLst>
              <a:ext uri="{FF2B5EF4-FFF2-40B4-BE49-F238E27FC236}">
                <a16:creationId xmlns:a16="http://schemas.microsoft.com/office/drawing/2014/main" id="{00000000-0008-0000-0200-000093000000}"/>
              </a:ext>
            </a:extLst>
          </xdr:cNvPr>
          <xdr:cNvSpPr txBox="1"/>
        </xdr:nvSpPr>
        <xdr:spPr>
          <a:xfrm>
            <a:off x="1030777" y="13863083"/>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Filter</a:t>
            </a:r>
            <a:r>
              <a:rPr lang="en-US" sz="600" baseline="0">
                <a:solidFill>
                  <a:schemeClr val="bg1"/>
                </a:solidFill>
              </a:rPr>
              <a:t> Clock</a:t>
            </a:r>
            <a:endParaRPr lang="en-US" sz="600">
              <a:solidFill>
                <a:schemeClr val="bg1"/>
              </a:solidFill>
            </a:endParaRPr>
          </a:p>
        </xdr:txBody>
      </xdr:sp>
    </xdr:grpSp>
    <xdr:clientData/>
  </xdr:twoCellAnchor>
  <xdr:twoCellAnchor>
    <xdr:from>
      <xdr:col>1</xdr:col>
      <xdr:colOff>20782</xdr:colOff>
      <xdr:row>75</xdr:row>
      <xdr:rowOff>8107</xdr:rowOff>
    </xdr:from>
    <xdr:to>
      <xdr:col>2</xdr:col>
      <xdr:colOff>425474</xdr:colOff>
      <xdr:row>78</xdr:row>
      <xdr:rowOff>171302</xdr:rowOff>
    </xdr:to>
    <xdr:sp macro="" textlink="">
      <xdr:nvSpPr>
        <xdr:cNvPr id="149" name="Rectangle 148">
          <a:extLst>
            <a:ext uri="{FF2B5EF4-FFF2-40B4-BE49-F238E27FC236}">
              <a16:creationId xmlns:a16="http://schemas.microsoft.com/office/drawing/2014/main" id="{00000000-0008-0000-0200-000095000000}"/>
            </a:ext>
          </a:extLst>
        </xdr:cNvPr>
        <xdr:cNvSpPr/>
      </xdr:nvSpPr>
      <xdr:spPr>
        <a:xfrm>
          <a:off x="631696" y="14308745"/>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MC_ME</a:t>
          </a:r>
          <a:endParaRPr lang="en-US" sz="1100"/>
        </a:p>
      </xdr:txBody>
    </xdr:sp>
    <xdr:clientData/>
  </xdr:twoCellAnchor>
  <xdr:twoCellAnchor>
    <xdr:from>
      <xdr:col>2</xdr:col>
      <xdr:colOff>425474</xdr:colOff>
      <xdr:row>76</xdr:row>
      <xdr:rowOff>184955</xdr:rowOff>
    </xdr:from>
    <xdr:to>
      <xdr:col>6</xdr:col>
      <xdr:colOff>321879</xdr:colOff>
      <xdr:row>76</xdr:row>
      <xdr:rowOff>184955</xdr:rowOff>
    </xdr:to>
    <xdr:cxnSp macro="">
      <xdr:nvCxnSpPr>
        <xdr:cNvPr id="151" name="Straight Arrow Connector 150">
          <a:extLst>
            <a:ext uri="{FF2B5EF4-FFF2-40B4-BE49-F238E27FC236}">
              <a16:creationId xmlns:a16="http://schemas.microsoft.com/office/drawing/2014/main" id="{00000000-0008-0000-0200-000097000000}"/>
            </a:ext>
          </a:extLst>
        </xdr:cNvPr>
        <xdr:cNvCxnSpPr>
          <a:endCxn id="149" idx="3"/>
        </xdr:cNvCxnSpPr>
      </xdr:nvCxnSpPr>
      <xdr:spPr>
        <a:xfrm flipH="1">
          <a:off x="1647302" y="14676093"/>
          <a:ext cx="2340060"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15526</xdr:colOff>
      <xdr:row>80</xdr:row>
      <xdr:rowOff>29132</xdr:rowOff>
    </xdr:from>
    <xdr:to>
      <xdr:col>2</xdr:col>
      <xdr:colOff>420218</xdr:colOff>
      <xdr:row>84</xdr:row>
      <xdr:rowOff>1827</xdr:rowOff>
    </xdr:to>
    <xdr:sp macro="" textlink="">
      <xdr:nvSpPr>
        <xdr:cNvPr id="152" name="Rectangle 151">
          <a:extLst>
            <a:ext uri="{FF2B5EF4-FFF2-40B4-BE49-F238E27FC236}">
              <a16:creationId xmlns:a16="http://schemas.microsoft.com/office/drawing/2014/main" id="{00000000-0008-0000-0200-000098000000}"/>
            </a:ext>
          </a:extLst>
        </xdr:cNvPr>
        <xdr:cNvSpPr/>
      </xdr:nvSpPr>
      <xdr:spPr>
        <a:xfrm>
          <a:off x="626440" y="15282270"/>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MC_PCU</a:t>
          </a:r>
          <a:endParaRPr lang="en-US" sz="1100"/>
        </a:p>
      </xdr:txBody>
    </xdr:sp>
    <xdr:clientData/>
  </xdr:twoCellAnchor>
  <xdr:twoCellAnchor>
    <xdr:from>
      <xdr:col>2</xdr:col>
      <xdr:colOff>420218</xdr:colOff>
      <xdr:row>82</xdr:row>
      <xdr:rowOff>15480</xdr:rowOff>
    </xdr:from>
    <xdr:to>
      <xdr:col>6</xdr:col>
      <xdr:colOff>316623</xdr:colOff>
      <xdr:row>82</xdr:row>
      <xdr:rowOff>15480</xdr:rowOff>
    </xdr:to>
    <xdr:cxnSp macro="">
      <xdr:nvCxnSpPr>
        <xdr:cNvPr id="153" name="Straight Arrow Connector 152">
          <a:extLst>
            <a:ext uri="{FF2B5EF4-FFF2-40B4-BE49-F238E27FC236}">
              <a16:creationId xmlns:a16="http://schemas.microsoft.com/office/drawing/2014/main" id="{00000000-0008-0000-0200-000099000000}"/>
            </a:ext>
          </a:extLst>
        </xdr:cNvPr>
        <xdr:cNvCxnSpPr>
          <a:endCxn id="152" idx="3"/>
        </xdr:cNvCxnSpPr>
      </xdr:nvCxnSpPr>
      <xdr:spPr>
        <a:xfrm flipH="1">
          <a:off x="1642046" y="15649618"/>
          <a:ext cx="2340060"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421531</xdr:colOff>
      <xdr:row>85</xdr:row>
      <xdr:rowOff>167884</xdr:rowOff>
    </xdr:from>
    <xdr:to>
      <xdr:col>6</xdr:col>
      <xdr:colOff>317936</xdr:colOff>
      <xdr:row>85</xdr:row>
      <xdr:rowOff>167884</xdr:rowOff>
    </xdr:to>
    <xdr:cxnSp macro="">
      <xdr:nvCxnSpPr>
        <xdr:cNvPr id="155" name="Straight Arrow Connector 154">
          <a:extLst>
            <a:ext uri="{FF2B5EF4-FFF2-40B4-BE49-F238E27FC236}">
              <a16:creationId xmlns:a16="http://schemas.microsoft.com/office/drawing/2014/main" id="{00000000-0008-0000-0200-00009B000000}"/>
            </a:ext>
          </a:extLst>
        </xdr:cNvPr>
        <xdr:cNvCxnSpPr/>
      </xdr:nvCxnSpPr>
      <xdr:spPr>
        <a:xfrm flipH="1">
          <a:off x="1643359" y="16373522"/>
          <a:ext cx="2340060"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439899</xdr:colOff>
      <xdr:row>88</xdr:row>
      <xdr:rowOff>61537</xdr:rowOff>
    </xdr:from>
    <xdr:to>
      <xdr:col>15</xdr:col>
      <xdr:colOff>329761</xdr:colOff>
      <xdr:row>88</xdr:row>
      <xdr:rowOff>61537</xdr:rowOff>
    </xdr:to>
    <xdr:cxnSp macro="">
      <xdr:nvCxnSpPr>
        <xdr:cNvPr id="156" name="Straight Arrow Connector 155">
          <a:extLst>
            <a:ext uri="{FF2B5EF4-FFF2-40B4-BE49-F238E27FC236}">
              <a16:creationId xmlns:a16="http://schemas.microsoft.com/office/drawing/2014/main" id="{00000000-0008-0000-0200-00009C000000}"/>
            </a:ext>
          </a:extLst>
        </xdr:cNvPr>
        <xdr:cNvCxnSpPr/>
      </xdr:nvCxnSpPr>
      <xdr:spPr>
        <a:xfrm flipH="1">
          <a:off x="1661727" y="16838675"/>
          <a:ext cx="7831741" cy="0"/>
        </a:xfrm>
        <a:prstGeom prst="straightConnector1">
          <a:avLst/>
        </a:prstGeom>
        <a:ln w="19050">
          <a:solidFill>
            <a:schemeClr val="accent6"/>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10270</xdr:colOff>
      <xdr:row>85</xdr:row>
      <xdr:rowOff>23881</xdr:rowOff>
    </xdr:from>
    <xdr:to>
      <xdr:col>2</xdr:col>
      <xdr:colOff>458608</xdr:colOff>
      <xdr:row>88</xdr:row>
      <xdr:rowOff>187076</xdr:rowOff>
    </xdr:to>
    <xdr:grpSp>
      <xdr:nvGrpSpPr>
        <xdr:cNvPr id="86" name="Group 85">
          <a:extLst>
            <a:ext uri="{FF2B5EF4-FFF2-40B4-BE49-F238E27FC236}">
              <a16:creationId xmlns:a16="http://schemas.microsoft.com/office/drawing/2014/main" id="{00000000-0008-0000-0200-000056000000}"/>
            </a:ext>
          </a:extLst>
        </xdr:cNvPr>
        <xdr:cNvGrpSpPr/>
      </xdr:nvGrpSpPr>
      <xdr:grpSpPr>
        <a:xfrm>
          <a:off x="614119" y="15910862"/>
          <a:ext cx="1052187" cy="716292"/>
          <a:chOff x="621184" y="16229519"/>
          <a:chExt cx="1059252" cy="734695"/>
        </a:xfrm>
      </xdr:grpSpPr>
      <xdr:sp macro="" textlink="">
        <xdr:nvSpPr>
          <xdr:cNvPr id="154" name="Rectangle 153">
            <a:extLst>
              <a:ext uri="{FF2B5EF4-FFF2-40B4-BE49-F238E27FC236}">
                <a16:creationId xmlns:a16="http://schemas.microsoft.com/office/drawing/2014/main" id="{00000000-0008-0000-0200-00009A000000}"/>
              </a:ext>
            </a:extLst>
          </xdr:cNvPr>
          <xdr:cNvSpPr/>
        </xdr:nvSpPr>
        <xdr:spPr>
          <a:xfrm>
            <a:off x="621184" y="16229519"/>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MC_RGM</a:t>
            </a:r>
            <a:endParaRPr lang="en-US" sz="1100"/>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050799" y="16764238"/>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Clock</a:t>
            </a:r>
          </a:p>
        </xdr:txBody>
      </xdr:sp>
    </xdr:grpSp>
    <xdr:clientData/>
  </xdr:twoCellAnchor>
  <xdr:twoCellAnchor>
    <xdr:from>
      <xdr:col>1</xdr:col>
      <xdr:colOff>11583</xdr:colOff>
      <xdr:row>90</xdr:row>
      <xdr:rowOff>12061</xdr:rowOff>
    </xdr:from>
    <xdr:to>
      <xdr:col>2</xdr:col>
      <xdr:colOff>416275</xdr:colOff>
      <xdr:row>93</xdr:row>
      <xdr:rowOff>175256</xdr:rowOff>
    </xdr:to>
    <xdr:sp macro="" textlink="">
      <xdr:nvSpPr>
        <xdr:cNvPr id="159" name="Rectangle 158">
          <a:extLst>
            <a:ext uri="{FF2B5EF4-FFF2-40B4-BE49-F238E27FC236}">
              <a16:creationId xmlns:a16="http://schemas.microsoft.com/office/drawing/2014/main" id="{00000000-0008-0000-0200-00009F000000}"/>
            </a:ext>
          </a:extLst>
        </xdr:cNvPr>
        <xdr:cNvSpPr/>
      </xdr:nvSpPr>
      <xdr:spPr>
        <a:xfrm>
          <a:off x="622497" y="17170199"/>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WKPU</a:t>
          </a:r>
          <a:endParaRPr lang="en-US" sz="1100"/>
        </a:p>
      </xdr:txBody>
    </xdr:sp>
    <xdr:clientData/>
  </xdr:twoCellAnchor>
  <xdr:twoCellAnchor>
    <xdr:from>
      <xdr:col>2</xdr:col>
      <xdr:colOff>416275</xdr:colOff>
      <xdr:row>91</xdr:row>
      <xdr:rowOff>188909</xdr:rowOff>
    </xdr:from>
    <xdr:to>
      <xdr:col>6</xdr:col>
      <xdr:colOff>312680</xdr:colOff>
      <xdr:row>91</xdr:row>
      <xdr:rowOff>188910</xdr:rowOff>
    </xdr:to>
    <xdr:cxnSp macro="">
      <xdr:nvCxnSpPr>
        <xdr:cNvPr id="161" name="Straight Arrow Connector 160">
          <a:extLst>
            <a:ext uri="{FF2B5EF4-FFF2-40B4-BE49-F238E27FC236}">
              <a16:creationId xmlns:a16="http://schemas.microsoft.com/office/drawing/2014/main" id="{00000000-0008-0000-0200-0000A1000000}"/>
            </a:ext>
          </a:extLst>
        </xdr:cNvPr>
        <xdr:cNvCxnSpPr>
          <a:endCxn id="159" idx="3"/>
        </xdr:cNvCxnSpPr>
      </xdr:nvCxnSpPr>
      <xdr:spPr>
        <a:xfrm flipH="1" flipV="1">
          <a:off x="1638103" y="17537547"/>
          <a:ext cx="2340060" cy="1"/>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6327</xdr:colOff>
      <xdr:row>94</xdr:row>
      <xdr:rowOff>184172</xdr:rowOff>
    </xdr:from>
    <xdr:to>
      <xdr:col>2</xdr:col>
      <xdr:colOff>411019</xdr:colOff>
      <xdr:row>98</xdr:row>
      <xdr:rowOff>156867</xdr:rowOff>
    </xdr:to>
    <xdr:sp macro="" textlink="">
      <xdr:nvSpPr>
        <xdr:cNvPr id="162" name="Rectangle 161">
          <a:extLst>
            <a:ext uri="{FF2B5EF4-FFF2-40B4-BE49-F238E27FC236}">
              <a16:creationId xmlns:a16="http://schemas.microsoft.com/office/drawing/2014/main" id="{00000000-0008-0000-0200-0000A2000000}"/>
            </a:ext>
          </a:extLst>
        </xdr:cNvPr>
        <xdr:cNvSpPr/>
      </xdr:nvSpPr>
      <xdr:spPr>
        <a:xfrm>
          <a:off x="617241" y="18104310"/>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STCU2</a:t>
          </a:r>
          <a:endParaRPr lang="en-US" sz="1100"/>
        </a:p>
      </xdr:txBody>
    </xdr:sp>
    <xdr:clientData/>
  </xdr:twoCellAnchor>
  <xdr:twoCellAnchor>
    <xdr:from>
      <xdr:col>2</xdr:col>
      <xdr:colOff>411019</xdr:colOff>
      <xdr:row>96</xdr:row>
      <xdr:rowOff>170520</xdr:rowOff>
    </xdr:from>
    <xdr:to>
      <xdr:col>6</xdr:col>
      <xdr:colOff>307424</xdr:colOff>
      <xdr:row>96</xdr:row>
      <xdr:rowOff>170521</xdr:rowOff>
    </xdr:to>
    <xdr:cxnSp macro="">
      <xdr:nvCxnSpPr>
        <xdr:cNvPr id="163" name="Straight Arrow Connector 162">
          <a:extLst>
            <a:ext uri="{FF2B5EF4-FFF2-40B4-BE49-F238E27FC236}">
              <a16:creationId xmlns:a16="http://schemas.microsoft.com/office/drawing/2014/main" id="{00000000-0008-0000-0200-0000A3000000}"/>
            </a:ext>
          </a:extLst>
        </xdr:cNvPr>
        <xdr:cNvCxnSpPr>
          <a:endCxn id="162" idx="3"/>
        </xdr:cNvCxnSpPr>
      </xdr:nvCxnSpPr>
      <xdr:spPr>
        <a:xfrm flipH="1" flipV="1">
          <a:off x="1632847" y="18471658"/>
          <a:ext cx="2340060" cy="1"/>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7640</xdr:colOff>
      <xdr:row>100</xdr:row>
      <xdr:rowOff>21266</xdr:rowOff>
    </xdr:from>
    <xdr:to>
      <xdr:col>2</xdr:col>
      <xdr:colOff>412332</xdr:colOff>
      <xdr:row>103</xdr:row>
      <xdr:rowOff>184461</xdr:rowOff>
    </xdr:to>
    <xdr:sp macro="" textlink="">
      <xdr:nvSpPr>
        <xdr:cNvPr id="164" name="Rectangle 163">
          <a:extLst>
            <a:ext uri="{FF2B5EF4-FFF2-40B4-BE49-F238E27FC236}">
              <a16:creationId xmlns:a16="http://schemas.microsoft.com/office/drawing/2014/main" id="{00000000-0008-0000-0200-0000A4000000}"/>
            </a:ext>
          </a:extLst>
        </xdr:cNvPr>
        <xdr:cNvSpPr/>
      </xdr:nvSpPr>
      <xdr:spPr>
        <a:xfrm>
          <a:off x="618554" y="19084404"/>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SSCM</a:t>
          </a:r>
          <a:endParaRPr lang="en-US" sz="1100"/>
        </a:p>
      </xdr:txBody>
    </xdr:sp>
    <xdr:clientData/>
  </xdr:twoCellAnchor>
  <xdr:twoCellAnchor>
    <xdr:from>
      <xdr:col>2</xdr:col>
      <xdr:colOff>412332</xdr:colOff>
      <xdr:row>102</xdr:row>
      <xdr:rowOff>7614</xdr:rowOff>
    </xdr:from>
    <xdr:to>
      <xdr:col>6</xdr:col>
      <xdr:colOff>308737</xdr:colOff>
      <xdr:row>102</xdr:row>
      <xdr:rowOff>7615</xdr:rowOff>
    </xdr:to>
    <xdr:cxnSp macro="">
      <xdr:nvCxnSpPr>
        <xdr:cNvPr id="165" name="Straight Arrow Connector 164">
          <a:extLst>
            <a:ext uri="{FF2B5EF4-FFF2-40B4-BE49-F238E27FC236}">
              <a16:creationId xmlns:a16="http://schemas.microsoft.com/office/drawing/2014/main" id="{00000000-0008-0000-0200-0000A5000000}"/>
            </a:ext>
          </a:extLst>
        </xdr:cNvPr>
        <xdr:cNvCxnSpPr>
          <a:endCxn id="164" idx="3"/>
        </xdr:cNvCxnSpPr>
      </xdr:nvCxnSpPr>
      <xdr:spPr>
        <a:xfrm flipH="1" flipV="1">
          <a:off x="1634160" y="19451752"/>
          <a:ext cx="2340060" cy="1"/>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8953</xdr:colOff>
      <xdr:row>105</xdr:row>
      <xdr:rowOff>29153</xdr:rowOff>
    </xdr:from>
    <xdr:to>
      <xdr:col>2</xdr:col>
      <xdr:colOff>413645</xdr:colOff>
      <xdr:row>109</xdr:row>
      <xdr:rowOff>1848</xdr:rowOff>
    </xdr:to>
    <xdr:sp macro="" textlink="">
      <xdr:nvSpPr>
        <xdr:cNvPr id="166" name="Rectangle 165">
          <a:extLst>
            <a:ext uri="{FF2B5EF4-FFF2-40B4-BE49-F238E27FC236}">
              <a16:creationId xmlns:a16="http://schemas.microsoft.com/office/drawing/2014/main" id="{00000000-0008-0000-0200-0000A6000000}"/>
            </a:ext>
          </a:extLst>
        </xdr:cNvPr>
        <xdr:cNvSpPr/>
      </xdr:nvSpPr>
      <xdr:spPr>
        <a:xfrm>
          <a:off x="619867" y="20044791"/>
          <a:ext cx="1015606"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BAM</a:t>
          </a:r>
          <a:endParaRPr lang="en-US" sz="1100"/>
        </a:p>
      </xdr:txBody>
    </xdr:sp>
    <xdr:clientData/>
  </xdr:twoCellAnchor>
  <xdr:twoCellAnchor>
    <xdr:from>
      <xdr:col>2</xdr:col>
      <xdr:colOff>413645</xdr:colOff>
      <xdr:row>107</xdr:row>
      <xdr:rowOff>15501</xdr:rowOff>
    </xdr:from>
    <xdr:to>
      <xdr:col>6</xdr:col>
      <xdr:colOff>310050</xdr:colOff>
      <xdr:row>107</xdr:row>
      <xdr:rowOff>15502</xdr:rowOff>
    </xdr:to>
    <xdr:cxnSp macro="">
      <xdr:nvCxnSpPr>
        <xdr:cNvPr id="167" name="Straight Arrow Connector 166">
          <a:extLst>
            <a:ext uri="{FF2B5EF4-FFF2-40B4-BE49-F238E27FC236}">
              <a16:creationId xmlns:a16="http://schemas.microsoft.com/office/drawing/2014/main" id="{00000000-0008-0000-0200-0000A7000000}"/>
            </a:ext>
          </a:extLst>
        </xdr:cNvPr>
        <xdr:cNvCxnSpPr>
          <a:endCxn id="166" idx="3"/>
        </xdr:cNvCxnSpPr>
      </xdr:nvCxnSpPr>
      <xdr:spPr>
        <a:xfrm flipH="1" flipV="1">
          <a:off x="1635473" y="20412139"/>
          <a:ext cx="2340060" cy="1"/>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457363</xdr:colOff>
      <xdr:row>113</xdr:row>
      <xdr:rowOff>184898</xdr:rowOff>
    </xdr:from>
    <xdr:ext cx="942975" cy="257176"/>
    <xdr:sp macro="" textlink="">
      <xdr:nvSpPr>
        <xdr:cNvPr id="171" name="TextBox 170">
          <a:hlinkClick xmlns:r="http://schemas.openxmlformats.org/officeDocument/2006/relationships" r:id="rId7"/>
          <a:extLst>
            <a:ext uri="{FF2B5EF4-FFF2-40B4-BE49-F238E27FC236}">
              <a16:creationId xmlns:a16="http://schemas.microsoft.com/office/drawing/2014/main" id="{00000000-0008-0000-0200-0000AB000000}"/>
            </a:ext>
          </a:extLst>
        </xdr:cNvPr>
        <xdr:cNvSpPr txBox="1"/>
      </xdr:nvSpPr>
      <xdr:spPr>
        <a:xfrm>
          <a:off x="9010156" y="21724536"/>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IRCOSC</a:t>
          </a:r>
        </a:p>
      </xdr:txBody>
    </xdr:sp>
    <xdr:clientData/>
  </xdr:oneCellAnchor>
  <xdr:oneCellAnchor>
    <xdr:from>
      <xdr:col>11</xdr:col>
      <xdr:colOff>456588</xdr:colOff>
      <xdr:row>114</xdr:row>
      <xdr:rowOff>7536</xdr:rowOff>
    </xdr:from>
    <xdr:ext cx="942975" cy="257176"/>
    <xdr:sp macro="" textlink="">
      <xdr:nvSpPr>
        <xdr:cNvPr id="172" name="TextBox 171">
          <a:hlinkClick xmlns:r="http://schemas.openxmlformats.org/officeDocument/2006/relationships" r:id="rId4"/>
          <a:extLst>
            <a:ext uri="{FF2B5EF4-FFF2-40B4-BE49-F238E27FC236}">
              <a16:creationId xmlns:a16="http://schemas.microsoft.com/office/drawing/2014/main" id="{00000000-0008-0000-0200-0000AC000000}"/>
            </a:ext>
          </a:extLst>
        </xdr:cNvPr>
        <xdr:cNvSpPr txBox="1"/>
      </xdr:nvSpPr>
      <xdr:spPr>
        <a:xfrm>
          <a:off x="7176640" y="21737674"/>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MOTC_CLK</a:t>
          </a:r>
        </a:p>
      </xdr:txBody>
    </xdr:sp>
    <xdr:clientData/>
  </xdr:oneCellAnchor>
  <xdr:oneCellAnchor>
    <xdr:from>
      <xdr:col>8</xdr:col>
      <xdr:colOff>482588</xdr:colOff>
      <xdr:row>113</xdr:row>
      <xdr:rowOff>177534</xdr:rowOff>
    </xdr:from>
    <xdr:ext cx="942975" cy="257176"/>
    <xdr:sp macro="" textlink="">
      <xdr:nvSpPr>
        <xdr:cNvPr id="173" name="TextBox 172">
          <a:hlinkClick xmlns:r="http://schemas.openxmlformats.org/officeDocument/2006/relationships" r:id="rId3"/>
          <a:extLst>
            <a:ext uri="{FF2B5EF4-FFF2-40B4-BE49-F238E27FC236}">
              <a16:creationId xmlns:a16="http://schemas.microsoft.com/office/drawing/2014/main" id="{00000000-0008-0000-0200-0000AD000000}"/>
            </a:ext>
          </a:extLst>
        </xdr:cNvPr>
        <xdr:cNvSpPr txBox="1"/>
      </xdr:nvSpPr>
      <xdr:spPr>
        <a:xfrm>
          <a:off x="5369898" y="21717172"/>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HALFSYS_CLK</a:t>
          </a:r>
        </a:p>
      </xdr:txBody>
    </xdr:sp>
    <xdr:clientData/>
  </xdr:oneCellAnchor>
  <xdr:oneCellAnchor>
    <xdr:from>
      <xdr:col>5</xdr:col>
      <xdr:colOff>429691</xdr:colOff>
      <xdr:row>113</xdr:row>
      <xdr:rowOff>155062</xdr:rowOff>
    </xdr:from>
    <xdr:ext cx="1057275" cy="419101"/>
    <xdr:sp macro="" textlink="">
      <xdr:nvSpPr>
        <xdr:cNvPr id="174" name="TextBox 173">
          <a:hlinkClick xmlns:r="http://schemas.openxmlformats.org/officeDocument/2006/relationships" r:id="rId1"/>
          <a:extLst>
            <a:ext uri="{FF2B5EF4-FFF2-40B4-BE49-F238E27FC236}">
              <a16:creationId xmlns:a16="http://schemas.microsoft.com/office/drawing/2014/main" id="{00000000-0008-0000-0200-0000AE000000}"/>
            </a:ext>
          </a:extLst>
        </xdr:cNvPr>
        <xdr:cNvSpPr txBox="1"/>
      </xdr:nvSpPr>
      <xdr:spPr>
        <a:xfrm>
          <a:off x="3484260" y="2169470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000" b="1"/>
            <a:t>PBRIDGE0_CLK</a:t>
          </a:r>
        </a:p>
        <a:p>
          <a:r>
            <a:rPr lang="en-US" sz="1000" b="1"/>
            <a:t>PBRIDGE1_CLK</a:t>
          </a:r>
        </a:p>
      </xdr:txBody>
    </xdr:sp>
    <xdr:clientData/>
  </xdr:oneCellAnchor>
  <xdr:twoCellAnchor>
    <xdr:from>
      <xdr:col>19</xdr:col>
      <xdr:colOff>27646</xdr:colOff>
      <xdr:row>7</xdr:row>
      <xdr:rowOff>143904</xdr:rowOff>
    </xdr:from>
    <xdr:to>
      <xdr:col>20</xdr:col>
      <xdr:colOff>432315</xdr:colOff>
      <xdr:row>11</xdr:row>
      <xdr:rowOff>116599</xdr:rowOff>
    </xdr:to>
    <xdr:sp macro="" textlink="">
      <xdr:nvSpPr>
        <xdr:cNvPr id="176" name="Rectangle 175">
          <a:extLst>
            <a:ext uri="{FF2B5EF4-FFF2-40B4-BE49-F238E27FC236}">
              <a16:creationId xmlns:a16="http://schemas.microsoft.com/office/drawing/2014/main" id="{00000000-0008-0000-0200-0000B0000000}"/>
            </a:ext>
          </a:extLst>
        </xdr:cNvPr>
        <xdr:cNvSpPr/>
      </xdr:nvSpPr>
      <xdr:spPr>
        <a:xfrm>
          <a:off x="11635008" y="1490542"/>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SAR ADC</a:t>
          </a:r>
        </a:p>
      </xdr:txBody>
    </xdr:sp>
    <xdr:clientData/>
  </xdr:twoCellAnchor>
  <xdr:twoCellAnchor>
    <xdr:from>
      <xdr:col>17</xdr:col>
      <xdr:colOff>316556</xdr:colOff>
      <xdr:row>6</xdr:row>
      <xdr:rowOff>6572</xdr:rowOff>
    </xdr:from>
    <xdr:to>
      <xdr:col>17</xdr:col>
      <xdr:colOff>316556</xdr:colOff>
      <xdr:row>18</xdr:row>
      <xdr:rowOff>13138</xdr:rowOff>
    </xdr:to>
    <xdr:cxnSp macro="">
      <xdr:nvCxnSpPr>
        <xdr:cNvPr id="181" name="Straight Arrow Connector 180">
          <a:extLst>
            <a:ext uri="{FF2B5EF4-FFF2-40B4-BE49-F238E27FC236}">
              <a16:creationId xmlns:a16="http://schemas.microsoft.com/office/drawing/2014/main" id="{00000000-0008-0000-0200-0000B5000000}"/>
            </a:ext>
          </a:extLst>
        </xdr:cNvPr>
        <xdr:cNvCxnSpPr/>
      </xdr:nvCxnSpPr>
      <xdr:spPr>
        <a:xfrm flipV="1">
          <a:off x="10702090" y="1162710"/>
          <a:ext cx="0" cy="2292566"/>
        </a:xfrm>
        <a:prstGeom prst="straightConnector1">
          <a:avLst/>
        </a:prstGeom>
        <a:ln w="19050">
          <a:solidFill>
            <a:sysClr val="windowText" lastClr="000000"/>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16</xdr:col>
      <xdr:colOff>477076</xdr:colOff>
      <xdr:row>3</xdr:row>
      <xdr:rowOff>165081</xdr:rowOff>
    </xdr:from>
    <xdr:ext cx="942975" cy="257176"/>
    <xdr:sp macro="" textlink="">
      <xdr:nvSpPr>
        <xdr:cNvPr id="187" name="TextBox 186">
          <a:hlinkClick xmlns:r="http://schemas.openxmlformats.org/officeDocument/2006/relationships" r:id="rId8"/>
          <a:extLst>
            <a:ext uri="{FF2B5EF4-FFF2-40B4-BE49-F238E27FC236}">
              <a16:creationId xmlns:a16="http://schemas.microsoft.com/office/drawing/2014/main" id="{00000000-0008-0000-0200-0000BB000000}"/>
            </a:ext>
          </a:extLst>
        </xdr:cNvPr>
        <xdr:cNvSpPr txBox="1"/>
      </xdr:nvSpPr>
      <xdr:spPr>
        <a:xfrm>
          <a:off x="10251697" y="736581"/>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ADC_CLK</a:t>
          </a:r>
        </a:p>
      </xdr:txBody>
    </xdr:sp>
    <xdr:clientData/>
  </xdr:oneCellAnchor>
  <xdr:twoCellAnchor>
    <xdr:from>
      <xdr:col>17</xdr:col>
      <xdr:colOff>308742</xdr:colOff>
      <xdr:row>9</xdr:row>
      <xdr:rowOff>130252</xdr:rowOff>
    </xdr:from>
    <xdr:to>
      <xdr:col>19</xdr:col>
      <xdr:colOff>27646</xdr:colOff>
      <xdr:row>9</xdr:row>
      <xdr:rowOff>136187</xdr:rowOff>
    </xdr:to>
    <xdr:cxnSp macro="">
      <xdr:nvCxnSpPr>
        <xdr:cNvPr id="188" name="Straight Arrow Connector 187">
          <a:extLst>
            <a:ext uri="{FF2B5EF4-FFF2-40B4-BE49-F238E27FC236}">
              <a16:creationId xmlns:a16="http://schemas.microsoft.com/office/drawing/2014/main" id="{00000000-0008-0000-0200-0000BC000000}"/>
            </a:ext>
          </a:extLst>
        </xdr:cNvPr>
        <xdr:cNvCxnSpPr>
          <a:endCxn id="176" idx="1"/>
        </xdr:cNvCxnSpPr>
      </xdr:nvCxnSpPr>
      <xdr:spPr>
        <a:xfrm flipV="1">
          <a:off x="10694276" y="1857890"/>
          <a:ext cx="940732" cy="5935"/>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325336</xdr:colOff>
      <xdr:row>16</xdr:row>
      <xdr:rowOff>37652</xdr:rowOff>
    </xdr:from>
    <xdr:to>
      <xdr:col>17</xdr:col>
      <xdr:colOff>532087</xdr:colOff>
      <xdr:row>16</xdr:row>
      <xdr:rowOff>37652</xdr:rowOff>
    </xdr:to>
    <xdr:cxnSp macro="">
      <xdr:nvCxnSpPr>
        <xdr:cNvPr id="193" name="Straight Arrow Connector 192">
          <a:extLst>
            <a:ext uri="{FF2B5EF4-FFF2-40B4-BE49-F238E27FC236}">
              <a16:creationId xmlns:a16="http://schemas.microsoft.com/office/drawing/2014/main" id="{00000000-0008-0000-0200-0000C1000000}"/>
            </a:ext>
          </a:extLst>
        </xdr:cNvPr>
        <xdr:cNvCxnSpPr/>
      </xdr:nvCxnSpPr>
      <xdr:spPr>
        <a:xfrm>
          <a:off x="3990819" y="3098790"/>
          <a:ext cx="6926802"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535420</xdr:colOff>
      <xdr:row>15</xdr:row>
      <xdr:rowOff>25789</xdr:rowOff>
    </xdr:from>
    <xdr:to>
      <xdr:col>18</xdr:col>
      <xdr:colOff>444942</xdr:colOff>
      <xdr:row>16</xdr:row>
      <xdr:rowOff>134525</xdr:rowOff>
    </xdr:to>
    <xdr:sp macro="" textlink="">
      <xdr:nvSpPr>
        <xdr:cNvPr id="196" name="Rectangle 195">
          <a:extLst>
            <a:ext uri="{FF2B5EF4-FFF2-40B4-BE49-F238E27FC236}">
              <a16:creationId xmlns:a16="http://schemas.microsoft.com/office/drawing/2014/main" id="{00000000-0008-0000-0200-0000C4000000}"/>
            </a:ext>
          </a:extLst>
        </xdr:cNvPr>
        <xdr:cNvSpPr/>
      </xdr:nvSpPr>
      <xdr:spPr>
        <a:xfrm>
          <a:off x="10920954" y="2896427"/>
          <a:ext cx="520436" cy="2992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600"/>
            <a:t>IP</a:t>
          </a:r>
          <a:r>
            <a:rPr lang="en-US" sz="600" baseline="0"/>
            <a:t> Bus Clock Sync Bridge</a:t>
          </a:r>
          <a:endParaRPr lang="en-US" sz="600"/>
        </a:p>
      </xdr:txBody>
    </xdr:sp>
    <xdr:clientData/>
  </xdr:twoCellAnchor>
  <xdr:twoCellAnchor>
    <xdr:from>
      <xdr:col>17</xdr:col>
      <xdr:colOff>316624</xdr:colOff>
      <xdr:row>13</xdr:row>
      <xdr:rowOff>111862</xdr:rowOff>
    </xdr:from>
    <xdr:to>
      <xdr:col>19</xdr:col>
      <xdr:colOff>35528</xdr:colOff>
      <xdr:row>13</xdr:row>
      <xdr:rowOff>117797</xdr:rowOff>
    </xdr:to>
    <xdr:cxnSp macro="">
      <xdr:nvCxnSpPr>
        <xdr:cNvPr id="197" name="Straight Arrow Connector 196">
          <a:extLst>
            <a:ext uri="{FF2B5EF4-FFF2-40B4-BE49-F238E27FC236}">
              <a16:creationId xmlns:a16="http://schemas.microsoft.com/office/drawing/2014/main" id="{00000000-0008-0000-0200-0000C5000000}"/>
            </a:ext>
          </a:extLst>
        </xdr:cNvPr>
        <xdr:cNvCxnSpPr/>
      </xdr:nvCxnSpPr>
      <xdr:spPr>
        <a:xfrm flipV="1">
          <a:off x="10702158" y="2601500"/>
          <a:ext cx="940732" cy="5935"/>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331075</xdr:colOff>
      <xdr:row>15</xdr:row>
      <xdr:rowOff>119112</xdr:rowOff>
    </xdr:from>
    <xdr:to>
      <xdr:col>17</xdr:col>
      <xdr:colOff>538656</xdr:colOff>
      <xdr:row>15</xdr:row>
      <xdr:rowOff>119113</xdr:rowOff>
    </xdr:to>
    <xdr:cxnSp macro="">
      <xdr:nvCxnSpPr>
        <xdr:cNvPr id="198" name="Straight Arrow Connector 197">
          <a:extLst>
            <a:ext uri="{FF2B5EF4-FFF2-40B4-BE49-F238E27FC236}">
              <a16:creationId xmlns:a16="http://schemas.microsoft.com/office/drawing/2014/main" id="{00000000-0008-0000-0200-0000C6000000}"/>
            </a:ext>
          </a:extLst>
        </xdr:cNvPr>
        <xdr:cNvCxnSpPr/>
      </xdr:nvCxnSpPr>
      <xdr:spPr>
        <a:xfrm flipV="1">
          <a:off x="10716609" y="2989750"/>
          <a:ext cx="207581" cy="1"/>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437492</xdr:colOff>
      <xdr:row>16</xdr:row>
      <xdr:rowOff>54737</xdr:rowOff>
    </xdr:from>
    <xdr:to>
      <xdr:col>19</xdr:col>
      <xdr:colOff>34159</xdr:colOff>
      <xdr:row>16</xdr:row>
      <xdr:rowOff>54738</xdr:rowOff>
    </xdr:to>
    <xdr:cxnSp macro="">
      <xdr:nvCxnSpPr>
        <xdr:cNvPr id="201" name="Straight Arrow Connector 200">
          <a:extLst>
            <a:ext uri="{FF2B5EF4-FFF2-40B4-BE49-F238E27FC236}">
              <a16:creationId xmlns:a16="http://schemas.microsoft.com/office/drawing/2014/main" id="{00000000-0008-0000-0200-0000C9000000}"/>
            </a:ext>
          </a:extLst>
        </xdr:cNvPr>
        <xdr:cNvCxnSpPr/>
      </xdr:nvCxnSpPr>
      <xdr:spPr>
        <a:xfrm flipV="1">
          <a:off x="11433940" y="3115875"/>
          <a:ext cx="207581" cy="1"/>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10567</xdr:colOff>
      <xdr:row>21</xdr:row>
      <xdr:rowOff>8583</xdr:rowOff>
    </xdr:from>
    <xdr:to>
      <xdr:col>20</xdr:col>
      <xdr:colOff>415236</xdr:colOff>
      <xdr:row>24</xdr:row>
      <xdr:rowOff>171778</xdr:rowOff>
    </xdr:to>
    <xdr:sp macro="" textlink="">
      <xdr:nvSpPr>
        <xdr:cNvPr id="202" name="Rectangle 201">
          <a:extLst>
            <a:ext uri="{FF2B5EF4-FFF2-40B4-BE49-F238E27FC236}">
              <a16:creationId xmlns:a16="http://schemas.microsoft.com/office/drawing/2014/main" id="{00000000-0008-0000-0200-0000CA000000}"/>
            </a:ext>
          </a:extLst>
        </xdr:cNvPr>
        <xdr:cNvSpPr/>
      </xdr:nvSpPr>
      <xdr:spPr>
        <a:xfrm>
          <a:off x="11617929" y="4022221"/>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FlexRay</a:t>
          </a:r>
        </a:p>
      </xdr:txBody>
    </xdr:sp>
    <xdr:clientData/>
  </xdr:twoCellAnchor>
  <xdr:twoCellAnchor>
    <xdr:from>
      <xdr:col>18</xdr:col>
      <xdr:colOff>595666</xdr:colOff>
      <xdr:row>13</xdr:row>
      <xdr:rowOff>13838</xdr:rowOff>
    </xdr:from>
    <xdr:to>
      <xdr:col>20</xdr:col>
      <xdr:colOff>433629</xdr:colOff>
      <xdr:row>16</xdr:row>
      <xdr:rowOff>177033</xdr:rowOff>
    </xdr:to>
    <xdr:grpSp>
      <xdr:nvGrpSpPr>
        <xdr:cNvPr id="205" name="Group 204">
          <a:extLst>
            <a:ext uri="{FF2B5EF4-FFF2-40B4-BE49-F238E27FC236}">
              <a16:creationId xmlns:a16="http://schemas.microsoft.com/office/drawing/2014/main" id="{00000000-0008-0000-0200-0000CD000000}"/>
            </a:ext>
          </a:extLst>
        </xdr:cNvPr>
        <xdr:cNvGrpSpPr/>
      </xdr:nvGrpSpPr>
      <xdr:grpSpPr>
        <a:xfrm>
          <a:off x="11651855" y="2443612"/>
          <a:ext cx="1045661" cy="723912"/>
          <a:chOff x="11592114" y="2503476"/>
          <a:chExt cx="1059791" cy="734695"/>
        </a:xfrm>
      </xdr:grpSpPr>
      <xdr:sp macro="" textlink="">
        <xdr:nvSpPr>
          <xdr:cNvPr id="191" name="Rectangle 190">
            <a:extLst>
              <a:ext uri="{FF2B5EF4-FFF2-40B4-BE49-F238E27FC236}">
                <a16:creationId xmlns:a16="http://schemas.microsoft.com/office/drawing/2014/main" id="{00000000-0008-0000-0200-0000BF000000}"/>
              </a:ext>
            </a:extLst>
          </xdr:cNvPr>
          <xdr:cNvSpPr/>
        </xdr:nvSpPr>
        <xdr:spPr>
          <a:xfrm>
            <a:off x="11636322" y="2503476"/>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SAR ADC Digital</a:t>
            </a:r>
            <a:r>
              <a:rPr lang="en-US" sz="1100" baseline="0"/>
              <a:t> Interface</a:t>
            </a:r>
            <a:endParaRPr lang="en-US" sz="1100"/>
          </a:p>
        </xdr:txBody>
      </xdr:sp>
      <xdr:sp macro="" textlink="">
        <xdr:nvSpPr>
          <xdr:cNvPr id="204" name="TextBox 203">
            <a:extLst>
              <a:ext uri="{FF2B5EF4-FFF2-40B4-BE49-F238E27FC236}">
                <a16:creationId xmlns:a16="http://schemas.microsoft.com/office/drawing/2014/main" id="{00000000-0008-0000-0200-0000CC000000}"/>
              </a:ext>
            </a:extLst>
          </xdr:cNvPr>
          <xdr:cNvSpPr txBox="1"/>
        </xdr:nvSpPr>
        <xdr:spPr>
          <a:xfrm>
            <a:off x="11592114" y="3021146"/>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18</xdr:col>
      <xdr:colOff>595666</xdr:colOff>
      <xdr:row>23</xdr:row>
      <xdr:rowOff>171493</xdr:rowOff>
    </xdr:from>
    <xdr:to>
      <xdr:col>20</xdr:col>
      <xdr:colOff>3475</xdr:colOff>
      <xdr:row>24</xdr:row>
      <xdr:rowOff>161968</xdr:rowOff>
    </xdr:to>
    <xdr:sp macro="" textlink="">
      <xdr:nvSpPr>
        <xdr:cNvPr id="206" name="TextBox 205">
          <a:extLst>
            <a:ext uri="{FF2B5EF4-FFF2-40B4-BE49-F238E27FC236}">
              <a16:creationId xmlns:a16="http://schemas.microsoft.com/office/drawing/2014/main" id="{00000000-0008-0000-0200-0000CE000000}"/>
            </a:ext>
          </a:extLst>
        </xdr:cNvPr>
        <xdr:cNvSpPr txBox="1"/>
      </xdr:nvSpPr>
      <xdr:spPr>
        <a:xfrm>
          <a:off x="11592114" y="4566131"/>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Protocol Clock</a:t>
          </a:r>
        </a:p>
      </xdr:txBody>
    </xdr:sp>
    <xdr:clientData/>
  </xdr:twoCellAnchor>
  <xdr:twoCellAnchor>
    <xdr:from>
      <xdr:col>18</xdr:col>
      <xdr:colOff>583842</xdr:colOff>
      <xdr:row>21</xdr:row>
      <xdr:rowOff>15152</xdr:rowOff>
    </xdr:from>
    <xdr:to>
      <xdr:col>19</xdr:col>
      <xdr:colOff>602565</xdr:colOff>
      <xdr:row>22</xdr:row>
      <xdr:rowOff>5627</xdr:rowOff>
    </xdr:to>
    <xdr:sp macro="" textlink="">
      <xdr:nvSpPr>
        <xdr:cNvPr id="207" name="TextBox 206">
          <a:extLst>
            <a:ext uri="{FF2B5EF4-FFF2-40B4-BE49-F238E27FC236}">
              <a16:creationId xmlns:a16="http://schemas.microsoft.com/office/drawing/2014/main" id="{00000000-0008-0000-0200-0000CF000000}"/>
            </a:ext>
          </a:extLst>
        </xdr:cNvPr>
        <xdr:cNvSpPr txBox="1"/>
      </xdr:nvSpPr>
      <xdr:spPr>
        <a:xfrm>
          <a:off x="11580290" y="4028790"/>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Module Clock</a:t>
          </a:r>
        </a:p>
      </xdr:txBody>
    </xdr:sp>
    <xdr:clientData/>
  </xdr:twoCellAnchor>
  <xdr:twoCellAnchor>
    <xdr:from>
      <xdr:col>6</xdr:col>
      <xdr:colOff>320080</xdr:colOff>
      <xdr:row>21</xdr:row>
      <xdr:rowOff>91522</xdr:rowOff>
    </xdr:from>
    <xdr:to>
      <xdr:col>18</xdr:col>
      <xdr:colOff>583842</xdr:colOff>
      <xdr:row>21</xdr:row>
      <xdr:rowOff>105640</xdr:rowOff>
    </xdr:to>
    <xdr:cxnSp macro="">
      <xdr:nvCxnSpPr>
        <xdr:cNvPr id="208" name="Straight Arrow Connector 207">
          <a:extLst>
            <a:ext uri="{FF2B5EF4-FFF2-40B4-BE49-F238E27FC236}">
              <a16:creationId xmlns:a16="http://schemas.microsoft.com/office/drawing/2014/main" id="{00000000-0008-0000-0200-0000D0000000}"/>
            </a:ext>
          </a:extLst>
        </xdr:cNvPr>
        <xdr:cNvCxnSpPr>
          <a:endCxn id="207" idx="1"/>
        </xdr:cNvCxnSpPr>
      </xdr:nvCxnSpPr>
      <xdr:spPr>
        <a:xfrm>
          <a:off x="3985563" y="4105160"/>
          <a:ext cx="7594727" cy="14118"/>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6569</xdr:colOff>
      <xdr:row>24</xdr:row>
      <xdr:rowOff>71481</xdr:rowOff>
    </xdr:from>
    <xdr:to>
      <xdr:col>18</xdr:col>
      <xdr:colOff>595666</xdr:colOff>
      <xdr:row>24</xdr:row>
      <xdr:rowOff>71481</xdr:rowOff>
    </xdr:to>
    <xdr:cxnSp macro="">
      <xdr:nvCxnSpPr>
        <xdr:cNvPr id="210" name="Straight Arrow Connector 209">
          <a:extLst>
            <a:ext uri="{FF2B5EF4-FFF2-40B4-BE49-F238E27FC236}">
              <a16:creationId xmlns:a16="http://schemas.microsoft.com/office/drawing/2014/main" id="{00000000-0008-0000-0200-0000D2000000}"/>
            </a:ext>
          </a:extLst>
        </xdr:cNvPr>
        <xdr:cNvCxnSpPr>
          <a:endCxn id="206" idx="1"/>
        </xdr:cNvCxnSpPr>
      </xdr:nvCxnSpPr>
      <xdr:spPr>
        <a:xfrm>
          <a:off x="11003017" y="4656619"/>
          <a:ext cx="58909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458683</xdr:colOff>
      <xdr:row>23</xdr:row>
      <xdr:rowOff>153257</xdr:rowOff>
    </xdr:from>
    <xdr:ext cx="942975" cy="257176"/>
    <xdr:sp macro="" textlink="">
      <xdr:nvSpPr>
        <xdr:cNvPr id="214" name="TextBox 213">
          <a:hlinkClick xmlns:r="http://schemas.openxmlformats.org/officeDocument/2006/relationships" r:id="rId9"/>
          <a:extLst>
            <a:ext uri="{FF2B5EF4-FFF2-40B4-BE49-F238E27FC236}">
              <a16:creationId xmlns:a16="http://schemas.microsoft.com/office/drawing/2014/main" id="{00000000-0008-0000-0200-0000D6000000}"/>
            </a:ext>
          </a:extLst>
        </xdr:cNvPr>
        <xdr:cNvSpPr txBox="1"/>
      </xdr:nvSpPr>
      <xdr:spPr>
        <a:xfrm>
          <a:off x="9622390" y="4547895"/>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FRAY_CLK</a:t>
          </a:r>
        </a:p>
      </xdr:txBody>
    </xdr:sp>
    <xdr:clientData/>
  </xdr:oneCellAnchor>
  <xdr:twoCellAnchor>
    <xdr:from>
      <xdr:col>19</xdr:col>
      <xdr:colOff>11881</xdr:colOff>
      <xdr:row>26</xdr:row>
      <xdr:rowOff>9897</xdr:rowOff>
    </xdr:from>
    <xdr:to>
      <xdr:col>20</xdr:col>
      <xdr:colOff>416550</xdr:colOff>
      <xdr:row>29</xdr:row>
      <xdr:rowOff>173092</xdr:rowOff>
    </xdr:to>
    <xdr:sp macro="" textlink="">
      <xdr:nvSpPr>
        <xdr:cNvPr id="215" name="Rectangle 214">
          <a:extLst>
            <a:ext uri="{FF2B5EF4-FFF2-40B4-BE49-F238E27FC236}">
              <a16:creationId xmlns:a16="http://schemas.microsoft.com/office/drawing/2014/main" id="{00000000-0008-0000-0200-0000D7000000}"/>
            </a:ext>
          </a:extLst>
        </xdr:cNvPr>
        <xdr:cNvSpPr/>
      </xdr:nvSpPr>
      <xdr:spPr>
        <a:xfrm>
          <a:off x="11619243" y="4976035"/>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DSPI</a:t>
          </a:r>
        </a:p>
      </xdr:txBody>
    </xdr:sp>
    <xdr:clientData/>
  </xdr:twoCellAnchor>
  <xdr:twoCellAnchor>
    <xdr:from>
      <xdr:col>6</xdr:col>
      <xdr:colOff>321393</xdr:colOff>
      <xdr:row>27</xdr:row>
      <xdr:rowOff>165094</xdr:rowOff>
    </xdr:from>
    <xdr:to>
      <xdr:col>18</xdr:col>
      <xdr:colOff>585155</xdr:colOff>
      <xdr:row>27</xdr:row>
      <xdr:rowOff>179212</xdr:rowOff>
    </xdr:to>
    <xdr:cxnSp macro="">
      <xdr:nvCxnSpPr>
        <xdr:cNvPr id="216" name="Straight Arrow Connector 215">
          <a:extLst>
            <a:ext uri="{FF2B5EF4-FFF2-40B4-BE49-F238E27FC236}">
              <a16:creationId xmlns:a16="http://schemas.microsoft.com/office/drawing/2014/main" id="{00000000-0008-0000-0200-0000D8000000}"/>
            </a:ext>
          </a:extLst>
        </xdr:cNvPr>
        <xdr:cNvCxnSpPr/>
      </xdr:nvCxnSpPr>
      <xdr:spPr>
        <a:xfrm>
          <a:off x="3986876" y="5321732"/>
          <a:ext cx="7594727" cy="14118"/>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7882</xdr:colOff>
      <xdr:row>31</xdr:row>
      <xdr:rowOff>99077</xdr:rowOff>
    </xdr:from>
    <xdr:to>
      <xdr:col>18</xdr:col>
      <xdr:colOff>596979</xdr:colOff>
      <xdr:row>31</xdr:row>
      <xdr:rowOff>99077</xdr:rowOff>
    </xdr:to>
    <xdr:cxnSp macro="">
      <xdr:nvCxnSpPr>
        <xdr:cNvPr id="219" name="Straight Arrow Connector 218">
          <a:extLst>
            <a:ext uri="{FF2B5EF4-FFF2-40B4-BE49-F238E27FC236}">
              <a16:creationId xmlns:a16="http://schemas.microsoft.com/office/drawing/2014/main" id="{00000000-0008-0000-0200-0000DB000000}"/>
            </a:ext>
          </a:extLst>
        </xdr:cNvPr>
        <xdr:cNvCxnSpPr/>
      </xdr:nvCxnSpPr>
      <xdr:spPr>
        <a:xfrm>
          <a:off x="11004330" y="6017715"/>
          <a:ext cx="58909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440289</xdr:colOff>
      <xdr:row>30</xdr:row>
      <xdr:rowOff>167715</xdr:rowOff>
    </xdr:from>
    <xdr:ext cx="942975" cy="257176"/>
    <xdr:sp macro="" textlink="">
      <xdr:nvSpPr>
        <xdr:cNvPr id="220" name="TextBox 219">
          <a:hlinkClick xmlns:r="http://schemas.openxmlformats.org/officeDocument/2006/relationships" r:id="rId10"/>
          <a:extLst>
            <a:ext uri="{FF2B5EF4-FFF2-40B4-BE49-F238E27FC236}">
              <a16:creationId xmlns:a16="http://schemas.microsoft.com/office/drawing/2014/main" id="{00000000-0008-0000-0200-0000DC000000}"/>
            </a:ext>
          </a:extLst>
        </xdr:cNvPr>
        <xdr:cNvSpPr txBox="1"/>
      </xdr:nvSpPr>
      <xdr:spPr>
        <a:xfrm>
          <a:off x="9603996" y="5895853"/>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ENET_CLK</a:t>
          </a:r>
        </a:p>
      </xdr:txBody>
    </xdr:sp>
    <xdr:clientData/>
  </xdr:oneCellAnchor>
  <xdr:oneCellAnchor>
    <xdr:from>
      <xdr:col>15</xdr:col>
      <xdr:colOff>170794</xdr:colOff>
      <xdr:row>31</xdr:row>
      <xdr:rowOff>162460</xdr:rowOff>
    </xdr:from>
    <xdr:ext cx="1213784" cy="257176"/>
    <xdr:sp macro="" textlink="">
      <xdr:nvSpPr>
        <xdr:cNvPr id="221" name="TextBox 220">
          <a:hlinkClick xmlns:r="http://schemas.openxmlformats.org/officeDocument/2006/relationships" r:id="rId11"/>
          <a:extLst>
            <a:ext uri="{FF2B5EF4-FFF2-40B4-BE49-F238E27FC236}">
              <a16:creationId xmlns:a16="http://schemas.microsoft.com/office/drawing/2014/main" id="{00000000-0008-0000-0200-0000DD000000}"/>
            </a:ext>
          </a:extLst>
        </xdr:cNvPr>
        <xdr:cNvSpPr txBox="1"/>
      </xdr:nvSpPr>
      <xdr:spPr>
        <a:xfrm>
          <a:off x="9334501" y="6081098"/>
          <a:ext cx="1213784"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ENET_TIME_CLK</a:t>
          </a:r>
        </a:p>
      </xdr:txBody>
    </xdr:sp>
    <xdr:clientData/>
  </xdr:oneCellAnchor>
  <xdr:twoCellAnchor>
    <xdr:from>
      <xdr:col>18</xdr:col>
      <xdr:colOff>9195</xdr:colOff>
      <xdr:row>32</xdr:row>
      <xdr:rowOff>93822</xdr:rowOff>
    </xdr:from>
    <xdr:to>
      <xdr:col>18</xdr:col>
      <xdr:colOff>598292</xdr:colOff>
      <xdr:row>32</xdr:row>
      <xdr:rowOff>93822</xdr:rowOff>
    </xdr:to>
    <xdr:cxnSp macro="">
      <xdr:nvCxnSpPr>
        <xdr:cNvPr id="222" name="Straight Arrow Connector 221">
          <a:extLst>
            <a:ext uri="{FF2B5EF4-FFF2-40B4-BE49-F238E27FC236}">
              <a16:creationId xmlns:a16="http://schemas.microsoft.com/office/drawing/2014/main" id="{00000000-0008-0000-0200-0000DE000000}"/>
            </a:ext>
          </a:extLst>
        </xdr:cNvPr>
        <xdr:cNvCxnSpPr/>
      </xdr:nvCxnSpPr>
      <xdr:spPr>
        <a:xfrm>
          <a:off x="11005643" y="6202960"/>
          <a:ext cx="58909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565447</xdr:colOff>
      <xdr:row>31</xdr:row>
      <xdr:rowOff>24353</xdr:rowOff>
    </xdr:from>
    <xdr:to>
      <xdr:col>20</xdr:col>
      <xdr:colOff>417863</xdr:colOff>
      <xdr:row>35</xdr:row>
      <xdr:rowOff>31912</xdr:rowOff>
    </xdr:to>
    <xdr:grpSp>
      <xdr:nvGrpSpPr>
        <xdr:cNvPr id="231" name="Group 230">
          <a:extLst>
            <a:ext uri="{FF2B5EF4-FFF2-40B4-BE49-F238E27FC236}">
              <a16:creationId xmlns:a16="http://schemas.microsoft.com/office/drawing/2014/main" id="{00000000-0008-0000-0200-0000E7000000}"/>
            </a:ext>
          </a:extLst>
        </xdr:cNvPr>
        <xdr:cNvGrpSpPr/>
      </xdr:nvGrpSpPr>
      <xdr:grpSpPr>
        <a:xfrm>
          <a:off x="11621636" y="5818428"/>
          <a:ext cx="1060114" cy="755182"/>
          <a:chOff x="11561895" y="5942991"/>
          <a:chExt cx="1074244" cy="769559"/>
        </a:xfrm>
      </xdr:grpSpPr>
      <xdr:sp macro="" textlink="">
        <xdr:nvSpPr>
          <xdr:cNvPr id="217" name="Rectangle 216">
            <a:extLst>
              <a:ext uri="{FF2B5EF4-FFF2-40B4-BE49-F238E27FC236}">
                <a16:creationId xmlns:a16="http://schemas.microsoft.com/office/drawing/2014/main" id="{00000000-0008-0000-0200-0000D9000000}"/>
              </a:ext>
            </a:extLst>
          </xdr:cNvPr>
          <xdr:cNvSpPr/>
        </xdr:nvSpPr>
        <xdr:spPr>
          <a:xfrm>
            <a:off x="11620556" y="5942991"/>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Ethernet</a:t>
            </a:r>
          </a:p>
        </xdr:txBody>
      </xdr:sp>
      <xdr:sp macro="" textlink="">
        <xdr:nvSpPr>
          <xdr:cNvPr id="223" name="TextBox 222">
            <a:extLst>
              <a:ext uri="{FF2B5EF4-FFF2-40B4-BE49-F238E27FC236}">
                <a16:creationId xmlns:a16="http://schemas.microsoft.com/office/drawing/2014/main" id="{00000000-0008-0000-0200-0000DF000000}"/>
              </a:ext>
            </a:extLst>
          </xdr:cNvPr>
          <xdr:cNvSpPr txBox="1"/>
        </xdr:nvSpPr>
        <xdr:spPr>
          <a:xfrm>
            <a:off x="11567151" y="6531575"/>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sp macro="" textlink="">
        <xdr:nvSpPr>
          <xdr:cNvPr id="224" name="TextBox 223">
            <a:extLst>
              <a:ext uri="{FF2B5EF4-FFF2-40B4-BE49-F238E27FC236}">
                <a16:creationId xmlns:a16="http://schemas.microsoft.com/office/drawing/2014/main" id="{00000000-0008-0000-0200-0000E0000000}"/>
              </a:ext>
            </a:extLst>
          </xdr:cNvPr>
          <xdr:cNvSpPr txBox="1"/>
        </xdr:nvSpPr>
        <xdr:spPr>
          <a:xfrm>
            <a:off x="11561895" y="6421215"/>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clientData/>
  </xdr:twoCellAnchor>
  <xdr:twoCellAnchor>
    <xdr:from>
      <xdr:col>9</xdr:col>
      <xdr:colOff>295604</xdr:colOff>
      <xdr:row>34</xdr:row>
      <xdr:rowOff>19707</xdr:rowOff>
    </xdr:from>
    <xdr:to>
      <xdr:col>18</xdr:col>
      <xdr:colOff>565447</xdr:colOff>
      <xdr:row>34</xdr:row>
      <xdr:rowOff>21565</xdr:rowOff>
    </xdr:to>
    <xdr:cxnSp macro="">
      <xdr:nvCxnSpPr>
        <xdr:cNvPr id="225" name="Straight Arrow Connector 224">
          <a:extLst>
            <a:ext uri="{FF2B5EF4-FFF2-40B4-BE49-F238E27FC236}">
              <a16:creationId xmlns:a16="http://schemas.microsoft.com/office/drawing/2014/main" id="{00000000-0008-0000-0200-0000E1000000}"/>
            </a:ext>
          </a:extLst>
        </xdr:cNvPr>
        <xdr:cNvCxnSpPr>
          <a:endCxn id="224" idx="1"/>
        </xdr:cNvCxnSpPr>
      </xdr:nvCxnSpPr>
      <xdr:spPr>
        <a:xfrm>
          <a:off x="5793828" y="6509845"/>
          <a:ext cx="5768067" cy="1858"/>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309569</xdr:colOff>
      <xdr:row>34</xdr:row>
      <xdr:rowOff>113862</xdr:rowOff>
    </xdr:from>
    <xdr:to>
      <xdr:col>18</xdr:col>
      <xdr:colOff>570703</xdr:colOff>
      <xdr:row>34</xdr:row>
      <xdr:rowOff>131925</xdr:rowOff>
    </xdr:to>
    <xdr:cxnSp macro="">
      <xdr:nvCxnSpPr>
        <xdr:cNvPr id="229" name="Straight Arrow Connector 228">
          <a:extLst>
            <a:ext uri="{FF2B5EF4-FFF2-40B4-BE49-F238E27FC236}">
              <a16:creationId xmlns:a16="http://schemas.microsoft.com/office/drawing/2014/main" id="{00000000-0008-0000-0200-0000E5000000}"/>
            </a:ext>
          </a:extLst>
        </xdr:cNvPr>
        <xdr:cNvCxnSpPr>
          <a:endCxn id="223" idx="1"/>
        </xdr:cNvCxnSpPr>
      </xdr:nvCxnSpPr>
      <xdr:spPr>
        <a:xfrm>
          <a:off x="3975052" y="6604000"/>
          <a:ext cx="7592099" cy="18063"/>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566760</xdr:colOff>
      <xdr:row>36</xdr:row>
      <xdr:rowOff>11223</xdr:rowOff>
    </xdr:from>
    <xdr:to>
      <xdr:col>20</xdr:col>
      <xdr:colOff>419176</xdr:colOff>
      <xdr:row>40</xdr:row>
      <xdr:rowOff>26661</xdr:rowOff>
    </xdr:to>
    <xdr:grpSp>
      <xdr:nvGrpSpPr>
        <xdr:cNvPr id="232" name="Group 231">
          <a:extLst>
            <a:ext uri="{FF2B5EF4-FFF2-40B4-BE49-F238E27FC236}">
              <a16:creationId xmlns:a16="http://schemas.microsoft.com/office/drawing/2014/main" id="{00000000-0008-0000-0200-0000E8000000}"/>
            </a:ext>
          </a:extLst>
        </xdr:cNvPr>
        <xdr:cNvGrpSpPr/>
      </xdr:nvGrpSpPr>
      <xdr:grpSpPr>
        <a:xfrm>
          <a:off x="11622949" y="6739827"/>
          <a:ext cx="1060114" cy="763060"/>
          <a:chOff x="11561895" y="5935112"/>
          <a:chExt cx="1074244" cy="777438"/>
        </a:xfrm>
      </xdr:grpSpPr>
      <xdr:sp macro="" textlink="">
        <xdr:nvSpPr>
          <xdr:cNvPr id="233" name="Rectangle 232">
            <a:extLst>
              <a:ext uri="{FF2B5EF4-FFF2-40B4-BE49-F238E27FC236}">
                <a16:creationId xmlns:a16="http://schemas.microsoft.com/office/drawing/2014/main" id="{00000000-0008-0000-0200-0000E9000000}"/>
              </a:ext>
            </a:extLst>
          </xdr:cNvPr>
          <xdr:cNvSpPr/>
        </xdr:nvSpPr>
        <xdr:spPr>
          <a:xfrm>
            <a:off x="11620556" y="5942991"/>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SIPI</a:t>
            </a:r>
          </a:p>
        </xdr:txBody>
      </xdr:sp>
      <xdr:sp macro="" textlink="">
        <xdr:nvSpPr>
          <xdr:cNvPr id="234" name="TextBox 233">
            <a:extLst>
              <a:ext uri="{FF2B5EF4-FFF2-40B4-BE49-F238E27FC236}">
                <a16:creationId xmlns:a16="http://schemas.microsoft.com/office/drawing/2014/main" id="{00000000-0008-0000-0200-0000EA000000}"/>
              </a:ext>
            </a:extLst>
          </xdr:cNvPr>
          <xdr:cNvSpPr txBox="1"/>
        </xdr:nvSpPr>
        <xdr:spPr>
          <a:xfrm>
            <a:off x="11567151" y="6531575"/>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sp macro="" textlink="">
        <xdr:nvSpPr>
          <xdr:cNvPr id="235" name="TextBox 234">
            <a:extLst>
              <a:ext uri="{FF2B5EF4-FFF2-40B4-BE49-F238E27FC236}">
                <a16:creationId xmlns:a16="http://schemas.microsoft.com/office/drawing/2014/main" id="{00000000-0008-0000-0200-0000EB000000}"/>
              </a:ext>
            </a:extLst>
          </xdr:cNvPr>
          <xdr:cNvSpPr txBox="1"/>
        </xdr:nvSpPr>
        <xdr:spPr>
          <a:xfrm>
            <a:off x="11561895" y="5935112"/>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clientData/>
  </xdr:twoCellAnchor>
  <xdr:twoCellAnchor>
    <xdr:from>
      <xdr:col>9</xdr:col>
      <xdr:colOff>303486</xdr:colOff>
      <xdr:row>36</xdr:row>
      <xdr:rowOff>99850</xdr:rowOff>
    </xdr:from>
    <xdr:to>
      <xdr:col>18</xdr:col>
      <xdr:colOff>566760</xdr:colOff>
      <xdr:row>36</xdr:row>
      <xdr:rowOff>101711</xdr:rowOff>
    </xdr:to>
    <xdr:cxnSp macro="">
      <xdr:nvCxnSpPr>
        <xdr:cNvPr id="236" name="Straight Arrow Connector 235">
          <a:extLst>
            <a:ext uri="{FF2B5EF4-FFF2-40B4-BE49-F238E27FC236}">
              <a16:creationId xmlns:a16="http://schemas.microsoft.com/office/drawing/2014/main" id="{00000000-0008-0000-0200-0000EC000000}"/>
            </a:ext>
          </a:extLst>
        </xdr:cNvPr>
        <xdr:cNvCxnSpPr>
          <a:endCxn id="235" idx="1"/>
        </xdr:cNvCxnSpPr>
      </xdr:nvCxnSpPr>
      <xdr:spPr>
        <a:xfrm>
          <a:off x="5801710" y="6970988"/>
          <a:ext cx="5761498" cy="1861"/>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315310</xdr:colOff>
      <xdr:row>39</xdr:row>
      <xdr:rowOff>126674</xdr:rowOff>
    </xdr:from>
    <xdr:to>
      <xdr:col>18</xdr:col>
      <xdr:colOff>572016</xdr:colOff>
      <xdr:row>39</xdr:row>
      <xdr:rowOff>126674</xdr:rowOff>
    </xdr:to>
    <xdr:cxnSp macro="">
      <xdr:nvCxnSpPr>
        <xdr:cNvPr id="238" name="Straight Arrow Connector 237">
          <a:extLst>
            <a:ext uri="{FF2B5EF4-FFF2-40B4-BE49-F238E27FC236}">
              <a16:creationId xmlns:a16="http://schemas.microsoft.com/office/drawing/2014/main" id="{00000000-0008-0000-0200-0000EE000000}"/>
            </a:ext>
          </a:extLst>
        </xdr:cNvPr>
        <xdr:cNvCxnSpPr>
          <a:endCxn id="234" idx="1"/>
        </xdr:cNvCxnSpPr>
      </xdr:nvCxnSpPr>
      <xdr:spPr>
        <a:xfrm>
          <a:off x="3980793" y="7569312"/>
          <a:ext cx="7587671"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568073</xdr:colOff>
      <xdr:row>41</xdr:row>
      <xdr:rowOff>12541</xdr:rowOff>
    </xdr:from>
    <xdr:to>
      <xdr:col>20</xdr:col>
      <xdr:colOff>420489</xdr:colOff>
      <xdr:row>45</xdr:row>
      <xdr:rowOff>27979</xdr:rowOff>
    </xdr:to>
    <xdr:grpSp>
      <xdr:nvGrpSpPr>
        <xdr:cNvPr id="249" name="Group 248">
          <a:hlinkClick xmlns:r="http://schemas.openxmlformats.org/officeDocument/2006/relationships" r:id="rId12"/>
          <a:extLst>
            <a:ext uri="{FF2B5EF4-FFF2-40B4-BE49-F238E27FC236}">
              <a16:creationId xmlns:a16="http://schemas.microsoft.com/office/drawing/2014/main" id="{00000000-0008-0000-0200-0000F9000000}"/>
            </a:ext>
          </a:extLst>
        </xdr:cNvPr>
        <xdr:cNvGrpSpPr/>
      </xdr:nvGrpSpPr>
      <xdr:grpSpPr>
        <a:xfrm>
          <a:off x="11624262" y="7675673"/>
          <a:ext cx="1060114" cy="763061"/>
          <a:chOff x="11564521" y="7836179"/>
          <a:chExt cx="1074244" cy="777438"/>
        </a:xfrm>
      </xdr:grpSpPr>
      <xdr:grpSp>
        <xdr:nvGrpSpPr>
          <xdr:cNvPr id="244" name="Group 243">
            <a:extLst>
              <a:ext uri="{FF2B5EF4-FFF2-40B4-BE49-F238E27FC236}">
                <a16:creationId xmlns:a16="http://schemas.microsoft.com/office/drawing/2014/main" id="{00000000-0008-0000-0200-0000F4000000}"/>
              </a:ext>
            </a:extLst>
          </xdr:cNvPr>
          <xdr:cNvGrpSpPr/>
        </xdr:nvGrpSpPr>
        <xdr:grpSpPr>
          <a:xfrm>
            <a:off x="11564521" y="7836179"/>
            <a:ext cx="1074244" cy="777438"/>
            <a:chOff x="11561895" y="5935112"/>
            <a:chExt cx="1074244" cy="777438"/>
          </a:xfrm>
        </xdr:grpSpPr>
        <xdr:sp macro="" textlink="">
          <xdr:nvSpPr>
            <xdr:cNvPr id="245" name="Rectangle 244">
              <a:extLst>
                <a:ext uri="{FF2B5EF4-FFF2-40B4-BE49-F238E27FC236}">
                  <a16:creationId xmlns:a16="http://schemas.microsoft.com/office/drawing/2014/main" id="{00000000-0008-0000-0200-0000F5000000}"/>
                </a:ext>
              </a:extLst>
            </xdr:cNvPr>
            <xdr:cNvSpPr/>
          </xdr:nvSpPr>
          <xdr:spPr>
            <a:xfrm>
              <a:off x="11620556" y="5942991"/>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LFAST</a:t>
              </a:r>
            </a:p>
            <a:p>
              <a:pPr algn="ctr"/>
              <a:r>
                <a:rPr lang="en-US" sz="900"/>
                <a:t>Click</a:t>
              </a:r>
              <a:r>
                <a:rPr lang="en-US" sz="900" baseline="0"/>
                <a:t> me for more info</a:t>
              </a:r>
              <a:endParaRPr lang="en-US" sz="900"/>
            </a:p>
          </xdr:txBody>
        </xdr:sp>
        <xdr:sp macro="" textlink="">
          <xdr:nvSpPr>
            <xdr:cNvPr id="246" name="TextBox 245">
              <a:extLst>
                <a:ext uri="{FF2B5EF4-FFF2-40B4-BE49-F238E27FC236}">
                  <a16:creationId xmlns:a16="http://schemas.microsoft.com/office/drawing/2014/main" id="{00000000-0008-0000-0200-0000F6000000}"/>
                </a:ext>
              </a:extLst>
            </xdr:cNvPr>
            <xdr:cNvSpPr txBox="1"/>
          </xdr:nvSpPr>
          <xdr:spPr>
            <a:xfrm>
              <a:off x="11567151" y="6531575"/>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PLL Reference</a:t>
              </a:r>
            </a:p>
          </xdr:txBody>
        </xdr:sp>
        <xdr:sp macro="" textlink="">
          <xdr:nvSpPr>
            <xdr:cNvPr id="247" name="TextBox 246">
              <a:extLst>
                <a:ext uri="{FF2B5EF4-FFF2-40B4-BE49-F238E27FC236}">
                  <a16:creationId xmlns:a16="http://schemas.microsoft.com/office/drawing/2014/main" id="{00000000-0008-0000-0200-0000F7000000}"/>
                </a:ext>
              </a:extLst>
            </xdr:cNvPr>
            <xdr:cNvSpPr txBox="1"/>
          </xdr:nvSpPr>
          <xdr:spPr>
            <a:xfrm>
              <a:off x="11561895" y="5935112"/>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Module Clock</a:t>
              </a:r>
            </a:p>
          </xdr:txBody>
        </xdr:sp>
      </xdr:grpSp>
      <xdr:sp macro="" textlink="">
        <xdr:nvSpPr>
          <xdr:cNvPr id="248" name="TextBox 247">
            <a:extLst>
              <a:ext uri="{FF2B5EF4-FFF2-40B4-BE49-F238E27FC236}">
                <a16:creationId xmlns:a16="http://schemas.microsoft.com/office/drawing/2014/main" id="{00000000-0008-0000-0200-0000F8000000}"/>
              </a:ext>
            </a:extLst>
          </xdr:cNvPr>
          <xdr:cNvSpPr txBox="1"/>
        </xdr:nvSpPr>
        <xdr:spPr>
          <a:xfrm>
            <a:off x="11565834" y="7988579"/>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6</xdr:col>
      <xdr:colOff>316623</xdr:colOff>
      <xdr:row>41</xdr:row>
      <xdr:rowOff>101713</xdr:rowOff>
    </xdr:from>
    <xdr:to>
      <xdr:col>18</xdr:col>
      <xdr:colOff>568073</xdr:colOff>
      <xdr:row>41</xdr:row>
      <xdr:rowOff>103029</xdr:rowOff>
    </xdr:to>
    <xdr:cxnSp macro="">
      <xdr:nvCxnSpPr>
        <xdr:cNvPr id="250" name="Straight Arrow Connector 249">
          <a:extLst>
            <a:ext uri="{FF2B5EF4-FFF2-40B4-BE49-F238E27FC236}">
              <a16:creationId xmlns:a16="http://schemas.microsoft.com/office/drawing/2014/main" id="{00000000-0008-0000-0200-0000FA000000}"/>
            </a:ext>
          </a:extLst>
        </xdr:cNvPr>
        <xdr:cNvCxnSpPr>
          <a:endCxn id="247" idx="1"/>
        </xdr:cNvCxnSpPr>
      </xdr:nvCxnSpPr>
      <xdr:spPr>
        <a:xfrm>
          <a:off x="3982106" y="7925351"/>
          <a:ext cx="7582415" cy="131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562960</xdr:colOff>
      <xdr:row>41</xdr:row>
      <xdr:rowOff>91051</xdr:rowOff>
    </xdr:from>
    <xdr:to>
      <xdr:col>17</xdr:col>
      <xdr:colOff>562960</xdr:colOff>
      <xdr:row>42</xdr:row>
      <xdr:rowOff>72259</xdr:rowOff>
    </xdr:to>
    <xdr:cxnSp macro="">
      <xdr:nvCxnSpPr>
        <xdr:cNvPr id="252" name="Straight Connector 251">
          <a:extLst>
            <a:ext uri="{FF2B5EF4-FFF2-40B4-BE49-F238E27FC236}">
              <a16:creationId xmlns:a16="http://schemas.microsoft.com/office/drawing/2014/main" id="{00000000-0008-0000-0200-0000FC000000}"/>
            </a:ext>
          </a:extLst>
        </xdr:cNvPr>
        <xdr:cNvCxnSpPr/>
      </xdr:nvCxnSpPr>
      <xdr:spPr>
        <a:xfrm>
          <a:off x="10948494" y="7914689"/>
          <a:ext cx="0" cy="171708"/>
        </a:xfrm>
        <a:prstGeom prst="line">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564932</xdr:colOff>
      <xdr:row>42</xdr:row>
      <xdr:rowOff>64929</xdr:rowOff>
    </xdr:from>
    <xdr:to>
      <xdr:col>18</xdr:col>
      <xdr:colOff>569386</xdr:colOff>
      <xdr:row>42</xdr:row>
      <xdr:rowOff>64929</xdr:rowOff>
    </xdr:to>
    <xdr:cxnSp macro="">
      <xdr:nvCxnSpPr>
        <xdr:cNvPr id="253" name="Straight Arrow Connector 252">
          <a:extLst>
            <a:ext uri="{FF2B5EF4-FFF2-40B4-BE49-F238E27FC236}">
              <a16:creationId xmlns:a16="http://schemas.microsoft.com/office/drawing/2014/main" id="{00000000-0008-0000-0200-0000FD000000}"/>
            </a:ext>
          </a:extLst>
        </xdr:cNvPr>
        <xdr:cNvCxnSpPr>
          <a:endCxn id="248" idx="1"/>
        </xdr:cNvCxnSpPr>
      </xdr:nvCxnSpPr>
      <xdr:spPr>
        <a:xfrm>
          <a:off x="10950466" y="8079067"/>
          <a:ext cx="615368" cy="0"/>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44</xdr:row>
      <xdr:rowOff>127992</xdr:rowOff>
    </xdr:from>
    <xdr:to>
      <xdr:col>18</xdr:col>
      <xdr:colOff>573329</xdr:colOff>
      <xdr:row>44</xdr:row>
      <xdr:rowOff>127992</xdr:rowOff>
    </xdr:to>
    <xdr:cxnSp macro="">
      <xdr:nvCxnSpPr>
        <xdr:cNvPr id="257" name="Straight Arrow Connector 256">
          <a:extLst>
            <a:ext uri="{FF2B5EF4-FFF2-40B4-BE49-F238E27FC236}">
              <a16:creationId xmlns:a16="http://schemas.microsoft.com/office/drawing/2014/main" id="{00000000-0008-0000-0200-000001010000}"/>
            </a:ext>
          </a:extLst>
        </xdr:cNvPr>
        <xdr:cNvCxnSpPr>
          <a:endCxn id="246" idx="1"/>
        </xdr:cNvCxnSpPr>
      </xdr:nvCxnSpPr>
      <xdr:spPr>
        <a:xfrm>
          <a:off x="10996448" y="8523130"/>
          <a:ext cx="573329"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442915</xdr:colOff>
      <xdr:row>43</xdr:row>
      <xdr:rowOff>157216</xdr:rowOff>
    </xdr:from>
    <xdr:ext cx="942975" cy="257176"/>
    <xdr:sp macro="" textlink="">
      <xdr:nvSpPr>
        <xdr:cNvPr id="261" name="TextBox 260">
          <a:hlinkClick xmlns:r="http://schemas.openxmlformats.org/officeDocument/2006/relationships" r:id="rId13"/>
          <a:extLst>
            <a:ext uri="{FF2B5EF4-FFF2-40B4-BE49-F238E27FC236}">
              <a16:creationId xmlns:a16="http://schemas.microsoft.com/office/drawing/2014/main" id="{00000000-0008-0000-0200-000005010000}"/>
            </a:ext>
          </a:extLst>
        </xdr:cNvPr>
        <xdr:cNvSpPr txBox="1"/>
      </xdr:nvSpPr>
      <xdr:spPr>
        <a:xfrm>
          <a:off x="9606622" y="8361854"/>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RF_REF</a:t>
          </a:r>
        </a:p>
      </xdr:txBody>
    </xdr:sp>
    <xdr:clientData/>
  </xdr:oneCellAnchor>
  <xdr:twoCellAnchor>
    <xdr:from>
      <xdr:col>18</xdr:col>
      <xdr:colOff>569386</xdr:colOff>
      <xdr:row>46</xdr:row>
      <xdr:rowOff>7290</xdr:rowOff>
    </xdr:from>
    <xdr:to>
      <xdr:col>20</xdr:col>
      <xdr:colOff>421802</xdr:colOff>
      <xdr:row>49</xdr:row>
      <xdr:rowOff>178364</xdr:rowOff>
    </xdr:to>
    <xdr:grpSp>
      <xdr:nvGrpSpPr>
        <xdr:cNvPr id="263" name="Group 262">
          <a:extLst>
            <a:ext uri="{FF2B5EF4-FFF2-40B4-BE49-F238E27FC236}">
              <a16:creationId xmlns:a16="http://schemas.microsoft.com/office/drawing/2014/main" id="{00000000-0008-0000-0200-000007010000}"/>
            </a:ext>
          </a:extLst>
        </xdr:cNvPr>
        <xdr:cNvGrpSpPr/>
      </xdr:nvGrpSpPr>
      <xdr:grpSpPr>
        <a:xfrm>
          <a:off x="11625575" y="8604950"/>
          <a:ext cx="1060114" cy="731791"/>
          <a:chOff x="11561895" y="5935112"/>
          <a:chExt cx="1074244" cy="742574"/>
        </a:xfrm>
      </xdr:grpSpPr>
      <xdr:sp macro="" textlink="">
        <xdr:nvSpPr>
          <xdr:cNvPr id="265" name="Rectangle 264">
            <a:extLst>
              <a:ext uri="{FF2B5EF4-FFF2-40B4-BE49-F238E27FC236}">
                <a16:creationId xmlns:a16="http://schemas.microsoft.com/office/drawing/2014/main" id="{00000000-0008-0000-0200-000009010000}"/>
              </a:ext>
            </a:extLst>
          </xdr:cNvPr>
          <xdr:cNvSpPr/>
        </xdr:nvSpPr>
        <xdr:spPr>
          <a:xfrm>
            <a:off x="11620556" y="5942991"/>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a:t>
            </a:r>
          </a:p>
        </xdr:txBody>
      </xdr:sp>
      <xdr:sp macro="" textlink="">
        <xdr:nvSpPr>
          <xdr:cNvPr id="266" name="TextBox 265">
            <a:extLst>
              <a:ext uri="{FF2B5EF4-FFF2-40B4-BE49-F238E27FC236}">
                <a16:creationId xmlns:a16="http://schemas.microsoft.com/office/drawing/2014/main" id="{00000000-0008-0000-0200-00000A010000}"/>
              </a:ext>
            </a:extLst>
          </xdr:cNvPr>
          <xdr:cNvSpPr txBox="1"/>
        </xdr:nvSpPr>
        <xdr:spPr>
          <a:xfrm>
            <a:off x="11567151" y="6492161"/>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sp macro="" textlink="">
        <xdr:nvSpPr>
          <xdr:cNvPr id="267" name="TextBox 266">
            <a:extLst>
              <a:ext uri="{FF2B5EF4-FFF2-40B4-BE49-F238E27FC236}">
                <a16:creationId xmlns:a16="http://schemas.microsoft.com/office/drawing/2014/main" id="{00000000-0008-0000-0200-00000B010000}"/>
              </a:ext>
            </a:extLst>
          </xdr:cNvPr>
          <xdr:cNvSpPr txBox="1"/>
        </xdr:nvSpPr>
        <xdr:spPr>
          <a:xfrm>
            <a:off x="11561895" y="5935112"/>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Module Clock</a:t>
            </a:r>
          </a:p>
        </xdr:txBody>
      </xdr:sp>
    </xdr:grpSp>
    <xdr:clientData/>
  </xdr:twoCellAnchor>
  <xdr:twoCellAnchor>
    <xdr:from>
      <xdr:col>9</xdr:col>
      <xdr:colOff>315310</xdr:colOff>
      <xdr:row>46</xdr:row>
      <xdr:rowOff>91965</xdr:rowOff>
    </xdr:from>
    <xdr:to>
      <xdr:col>18</xdr:col>
      <xdr:colOff>569386</xdr:colOff>
      <xdr:row>46</xdr:row>
      <xdr:rowOff>97778</xdr:rowOff>
    </xdr:to>
    <xdr:cxnSp macro="">
      <xdr:nvCxnSpPr>
        <xdr:cNvPr id="268" name="Straight Arrow Connector 267">
          <a:extLst>
            <a:ext uri="{FF2B5EF4-FFF2-40B4-BE49-F238E27FC236}">
              <a16:creationId xmlns:a16="http://schemas.microsoft.com/office/drawing/2014/main" id="{00000000-0008-0000-0200-00000C010000}"/>
            </a:ext>
          </a:extLst>
        </xdr:cNvPr>
        <xdr:cNvCxnSpPr>
          <a:endCxn id="267" idx="1"/>
        </xdr:cNvCxnSpPr>
      </xdr:nvCxnSpPr>
      <xdr:spPr>
        <a:xfrm>
          <a:off x="5813534" y="8868103"/>
          <a:ext cx="5752300" cy="5813"/>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302173</xdr:colOff>
      <xdr:row>49</xdr:row>
      <xdr:rowOff>83327</xdr:rowOff>
    </xdr:from>
    <xdr:to>
      <xdr:col>18</xdr:col>
      <xdr:colOff>574642</xdr:colOff>
      <xdr:row>49</xdr:row>
      <xdr:rowOff>83327</xdr:rowOff>
    </xdr:to>
    <xdr:cxnSp macro="">
      <xdr:nvCxnSpPr>
        <xdr:cNvPr id="271" name="Straight Arrow Connector 270">
          <a:extLst>
            <a:ext uri="{FF2B5EF4-FFF2-40B4-BE49-F238E27FC236}">
              <a16:creationId xmlns:a16="http://schemas.microsoft.com/office/drawing/2014/main" id="{00000000-0008-0000-0200-00000F010000}"/>
            </a:ext>
          </a:extLst>
        </xdr:cNvPr>
        <xdr:cNvCxnSpPr>
          <a:endCxn id="266" idx="1"/>
        </xdr:cNvCxnSpPr>
      </xdr:nvCxnSpPr>
      <xdr:spPr>
        <a:xfrm>
          <a:off x="5800397" y="9430965"/>
          <a:ext cx="5770693" cy="0"/>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18446</xdr:colOff>
      <xdr:row>51</xdr:row>
      <xdr:rowOff>9918</xdr:rowOff>
    </xdr:from>
    <xdr:to>
      <xdr:col>20</xdr:col>
      <xdr:colOff>423115</xdr:colOff>
      <xdr:row>54</xdr:row>
      <xdr:rowOff>173113</xdr:rowOff>
    </xdr:to>
    <xdr:sp macro="" textlink="">
      <xdr:nvSpPr>
        <xdr:cNvPr id="276" name="Rectangle 275">
          <a:extLst>
            <a:ext uri="{FF2B5EF4-FFF2-40B4-BE49-F238E27FC236}">
              <a16:creationId xmlns:a16="http://schemas.microsoft.com/office/drawing/2014/main" id="{00000000-0008-0000-0200-000014010000}"/>
            </a:ext>
          </a:extLst>
        </xdr:cNvPr>
        <xdr:cNvSpPr/>
      </xdr:nvSpPr>
      <xdr:spPr>
        <a:xfrm>
          <a:off x="11625808" y="9738556"/>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DMAMUX(2)</a:t>
          </a:r>
        </a:p>
      </xdr:txBody>
    </xdr:sp>
    <xdr:clientData/>
  </xdr:twoCellAnchor>
  <xdr:twoCellAnchor>
    <xdr:from>
      <xdr:col>6</xdr:col>
      <xdr:colOff>317936</xdr:colOff>
      <xdr:row>52</xdr:row>
      <xdr:rowOff>11071</xdr:rowOff>
    </xdr:from>
    <xdr:to>
      <xdr:col>18</xdr:col>
      <xdr:colOff>569386</xdr:colOff>
      <xdr:row>52</xdr:row>
      <xdr:rowOff>12387</xdr:rowOff>
    </xdr:to>
    <xdr:cxnSp macro="">
      <xdr:nvCxnSpPr>
        <xdr:cNvPr id="279" name="Straight Arrow Connector 278">
          <a:extLst>
            <a:ext uri="{FF2B5EF4-FFF2-40B4-BE49-F238E27FC236}">
              <a16:creationId xmlns:a16="http://schemas.microsoft.com/office/drawing/2014/main" id="{00000000-0008-0000-0200-000017010000}"/>
            </a:ext>
          </a:extLst>
        </xdr:cNvPr>
        <xdr:cNvCxnSpPr/>
      </xdr:nvCxnSpPr>
      <xdr:spPr>
        <a:xfrm>
          <a:off x="3983419" y="9930209"/>
          <a:ext cx="7582415" cy="131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19759</xdr:colOff>
      <xdr:row>56</xdr:row>
      <xdr:rowOff>17801</xdr:rowOff>
    </xdr:from>
    <xdr:to>
      <xdr:col>20</xdr:col>
      <xdr:colOff>424428</xdr:colOff>
      <xdr:row>59</xdr:row>
      <xdr:rowOff>180996</xdr:rowOff>
    </xdr:to>
    <xdr:sp macro="" textlink="">
      <xdr:nvSpPr>
        <xdr:cNvPr id="280" name="Rectangle 279">
          <a:extLst>
            <a:ext uri="{FF2B5EF4-FFF2-40B4-BE49-F238E27FC236}">
              <a16:creationId xmlns:a16="http://schemas.microsoft.com/office/drawing/2014/main" id="{00000000-0008-0000-0200-000018010000}"/>
            </a:ext>
          </a:extLst>
        </xdr:cNvPr>
        <xdr:cNvSpPr/>
      </xdr:nvSpPr>
      <xdr:spPr>
        <a:xfrm>
          <a:off x="11627121" y="10698939"/>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TSENS</a:t>
          </a:r>
        </a:p>
      </xdr:txBody>
    </xdr:sp>
    <xdr:clientData/>
  </xdr:twoCellAnchor>
  <xdr:twoCellAnchor>
    <xdr:from>
      <xdr:col>6</xdr:col>
      <xdr:colOff>319249</xdr:colOff>
      <xdr:row>58</xdr:row>
      <xdr:rowOff>45235</xdr:rowOff>
    </xdr:from>
    <xdr:to>
      <xdr:col>18</xdr:col>
      <xdr:colOff>570699</xdr:colOff>
      <xdr:row>58</xdr:row>
      <xdr:rowOff>46551</xdr:rowOff>
    </xdr:to>
    <xdr:cxnSp macro="">
      <xdr:nvCxnSpPr>
        <xdr:cNvPr id="281" name="Straight Arrow Connector 280">
          <a:extLst>
            <a:ext uri="{FF2B5EF4-FFF2-40B4-BE49-F238E27FC236}">
              <a16:creationId xmlns:a16="http://schemas.microsoft.com/office/drawing/2014/main" id="{00000000-0008-0000-0200-000019010000}"/>
            </a:ext>
          </a:extLst>
        </xdr:cNvPr>
        <xdr:cNvCxnSpPr/>
      </xdr:nvCxnSpPr>
      <xdr:spPr>
        <a:xfrm>
          <a:off x="3984732" y="11107373"/>
          <a:ext cx="7582415" cy="131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21073</xdr:colOff>
      <xdr:row>61</xdr:row>
      <xdr:rowOff>19115</xdr:rowOff>
    </xdr:from>
    <xdr:to>
      <xdr:col>20</xdr:col>
      <xdr:colOff>425742</xdr:colOff>
      <xdr:row>64</xdr:row>
      <xdr:rowOff>182310</xdr:rowOff>
    </xdr:to>
    <xdr:sp macro="" textlink="">
      <xdr:nvSpPr>
        <xdr:cNvPr id="282" name="Rectangle 281">
          <a:extLst>
            <a:ext uri="{FF2B5EF4-FFF2-40B4-BE49-F238E27FC236}">
              <a16:creationId xmlns:a16="http://schemas.microsoft.com/office/drawing/2014/main" id="{00000000-0008-0000-0200-00001A010000}"/>
            </a:ext>
          </a:extLst>
        </xdr:cNvPr>
        <xdr:cNvSpPr/>
      </xdr:nvSpPr>
      <xdr:spPr>
        <a:xfrm>
          <a:off x="11628435" y="11652753"/>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MEMU</a:t>
          </a:r>
        </a:p>
      </xdr:txBody>
    </xdr:sp>
    <xdr:clientData/>
  </xdr:twoCellAnchor>
  <xdr:twoCellAnchor>
    <xdr:from>
      <xdr:col>6</xdr:col>
      <xdr:colOff>313994</xdr:colOff>
      <xdr:row>63</xdr:row>
      <xdr:rowOff>125376</xdr:rowOff>
    </xdr:from>
    <xdr:to>
      <xdr:col>18</xdr:col>
      <xdr:colOff>565444</xdr:colOff>
      <xdr:row>63</xdr:row>
      <xdr:rowOff>126692</xdr:rowOff>
    </xdr:to>
    <xdr:cxnSp macro="">
      <xdr:nvCxnSpPr>
        <xdr:cNvPr id="283" name="Straight Arrow Connector 282">
          <a:extLst>
            <a:ext uri="{FF2B5EF4-FFF2-40B4-BE49-F238E27FC236}">
              <a16:creationId xmlns:a16="http://schemas.microsoft.com/office/drawing/2014/main" id="{00000000-0008-0000-0200-00001B010000}"/>
            </a:ext>
          </a:extLst>
        </xdr:cNvPr>
        <xdr:cNvCxnSpPr/>
      </xdr:nvCxnSpPr>
      <xdr:spPr>
        <a:xfrm>
          <a:off x="3979477" y="12140014"/>
          <a:ext cx="7582415" cy="1316"/>
        </a:xfrm>
        <a:prstGeom prst="straightConnector1">
          <a:avLst/>
        </a:prstGeom>
        <a:ln w="19050">
          <a:solidFill>
            <a:srgbClr val="00B05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22386</xdr:colOff>
      <xdr:row>66</xdr:row>
      <xdr:rowOff>7295</xdr:rowOff>
    </xdr:from>
    <xdr:to>
      <xdr:col>20</xdr:col>
      <xdr:colOff>427055</xdr:colOff>
      <xdr:row>69</xdr:row>
      <xdr:rowOff>170490</xdr:rowOff>
    </xdr:to>
    <xdr:sp macro="" textlink="">
      <xdr:nvSpPr>
        <xdr:cNvPr id="284" name="Rectangle 283">
          <a:extLst>
            <a:ext uri="{FF2B5EF4-FFF2-40B4-BE49-F238E27FC236}">
              <a16:creationId xmlns:a16="http://schemas.microsoft.com/office/drawing/2014/main" id="{00000000-0008-0000-0200-00001C010000}"/>
            </a:ext>
          </a:extLst>
        </xdr:cNvPr>
        <xdr:cNvSpPr/>
      </xdr:nvSpPr>
      <xdr:spPr>
        <a:xfrm>
          <a:off x="11629748" y="12593433"/>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Flash Memory</a:t>
          </a:r>
        </a:p>
      </xdr:txBody>
    </xdr:sp>
    <xdr:clientData/>
  </xdr:twoCellAnchor>
  <xdr:twoCellAnchor>
    <xdr:from>
      <xdr:col>18</xdr:col>
      <xdr:colOff>583837</xdr:colOff>
      <xdr:row>66</xdr:row>
      <xdr:rowOff>2054</xdr:rowOff>
    </xdr:from>
    <xdr:to>
      <xdr:col>19</xdr:col>
      <xdr:colOff>602560</xdr:colOff>
      <xdr:row>66</xdr:row>
      <xdr:rowOff>183029</xdr:rowOff>
    </xdr:to>
    <xdr:sp macro="" textlink="">
      <xdr:nvSpPr>
        <xdr:cNvPr id="289" name="TextBox 288">
          <a:extLst>
            <a:ext uri="{FF2B5EF4-FFF2-40B4-BE49-F238E27FC236}">
              <a16:creationId xmlns:a16="http://schemas.microsoft.com/office/drawing/2014/main" id="{00000000-0008-0000-0200-000021010000}"/>
            </a:ext>
          </a:extLst>
        </xdr:cNvPr>
        <xdr:cNvSpPr txBox="1"/>
      </xdr:nvSpPr>
      <xdr:spPr>
        <a:xfrm>
          <a:off x="11580285" y="12588192"/>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clientData/>
  </xdr:twoCellAnchor>
  <xdr:twoCellAnchor>
    <xdr:from>
      <xdr:col>18</xdr:col>
      <xdr:colOff>585150</xdr:colOff>
      <xdr:row>68</xdr:row>
      <xdr:rowOff>167594</xdr:rowOff>
    </xdr:from>
    <xdr:to>
      <xdr:col>19</xdr:col>
      <xdr:colOff>603873</xdr:colOff>
      <xdr:row>69</xdr:row>
      <xdr:rowOff>158069</xdr:rowOff>
    </xdr:to>
    <xdr:sp macro="" textlink="">
      <xdr:nvSpPr>
        <xdr:cNvPr id="290" name="TextBox 289">
          <a:extLst>
            <a:ext uri="{FF2B5EF4-FFF2-40B4-BE49-F238E27FC236}">
              <a16:creationId xmlns:a16="http://schemas.microsoft.com/office/drawing/2014/main" id="{00000000-0008-0000-0200-000022010000}"/>
            </a:ext>
          </a:extLst>
        </xdr:cNvPr>
        <xdr:cNvSpPr txBox="1"/>
      </xdr:nvSpPr>
      <xdr:spPr>
        <a:xfrm>
          <a:off x="11581598" y="13134732"/>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array</a:t>
          </a:r>
        </a:p>
      </xdr:txBody>
    </xdr:sp>
    <xdr:clientData/>
  </xdr:twoCellAnchor>
  <xdr:oneCellAnchor>
    <xdr:from>
      <xdr:col>16</xdr:col>
      <xdr:colOff>457367</xdr:colOff>
      <xdr:row>63</xdr:row>
      <xdr:rowOff>158530</xdr:rowOff>
    </xdr:from>
    <xdr:ext cx="942975" cy="257176"/>
    <xdr:sp macro="" textlink="">
      <xdr:nvSpPr>
        <xdr:cNvPr id="291" name="TextBox 290">
          <a:hlinkClick xmlns:r="http://schemas.openxmlformats.org/officeDocument/2006/relationships" r:id="rId14"/>
          <a:extLst>
            <a:ext uri="{FF2B5EF4-FFF2-40B4-BE49-F238E27FC236}">
              <a16:creationId xmlns:a16="http://schemas.microsoft.com/office/drawing/2014/main" id="{00000000-0008-0000-0200-000023010000}"/>
            </a:ext>
          </a:extLst>
        </xdr:cNvPr>
        <xdr:cNvSpPr txBox="1"/>
      </xdr:nvSpPr>
      <xdr:spPr>
        <a:xfrm>
          <a:off x="10231988" y="12173168"/>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SYS_CLK</a:t>
          </a:r>
        </a:p>
      </xdr:txBody>
    </xdr:sp>
    <xdr:clientData/>
  </xdr:oneCellAnchor>
  <xdr:twoCellAnchor>
    <xdr:from>
      <xdr:col>17</xdr:col>
      <xdr:colOff>308742</xdr:colOff>
      <xdr:row>66</xdr:row>
      <xdr:rowOff>92542</xdr:rowOff>
    </xdr:from>
    <xdr:to>
      <xdr:col>18</xdr:col>
      <xdr:colOff>583837</xdr:colOff>
      <xdr:row>66</xdr:row>
      <xdr:rowOff>92542</xdr:rowOff>
    </xdr:to>
    <xdr:cxnSp macro="">
      <xdr:nvCxnSpPr>
        <xdr:cNvPr id="292" name="Straight Arrow Connector 291">
          <a:extLst>
            <a:ext uri="{FF2B5EF4-FFF2-40B4-BE49-F238E27FC236}">
              <a16:creationId xmlns:a16="http://schemas.microsoft.com/office/drawing/2014/main" id="{00000000-0008-0000-0200-000024010000}"/>
            </a:ext>
          </a:extLst>
        </xdr:cNvPr>
        <xdr:cNvCxnSpPr>
          <a:endCxn id="289" idx="1"/>
        </xdr:cNvCxnSpPr>
      </xdr:nvCxnSpPr>
      <xdr:spPr>
        <a:xfrm>
          <a:off x="10694276" y="12678680"/>
          <a:ext cx="886009"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321880</xdr:colOff>
      <xdr:row>69</xdr:row>
      <xdr:rowOff>67582</xdr:rowOff>
    </xdr:from>
    <xdr:to>
      <xdr:col>18</xdr:col>
      <xdr:colOff>585150</xdr:colOff>
      <xdr:row>69</xdr:row>
      <xdr:rowOff>67582</xdr:rowOff>
    </xdr:to>
    <xdr:cxnSp macro="">
      <xdr:nvCxnSpPr>
        <xdr:cNvPr id="298" name="Straight Arrow Connector 297">
          <a:extLst>
            <a:ext uri="{FF2B5EF4-FFF2-40B4-BE49-F238E27FC236}">
              <a16:creationId xmlns:a16="http://schemas.microsoft.com/office/drawing/2014/main" id="{00000000-0008-0000-0200-00002A010000}"/>
            </a:ext>
          </a:extLst>
        </xdr:cNvPr>
        <xdr:cNvCxnSpPr>
          <a:endCxn id="290" idx="1"/>
        </xdr:cNvCxnSpPr>
      </xdr:nvCxnSpPr>
      <xdr:spPr>
        <a:xfrm>
          <a:off x="10707414" y="13225220"/>
          <a:ext cx="874184"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317870</xdr:colOff>
      <xdr:row>66</xdr:row>
      <xdr:rowOff>19708</xdr:rowOff>
    </xdr:from>
    <xdr:to>
      <xdr:col>17</xdr:col>
      <xdr:colOff>317870</xdr:colOff>
      <xdr:row>72</xdr:row>
      <xdr:rowOff>157655</xdr:rowOff>
    </xdr:to>
    <xdr:cxnSp macro="">
      <xdr:nvCxnSpPr>
        <xdr:cNvPr id="306" name="Straight Arrow Connector 305">
          <a:extLst>
            <a:ext uri="{FF2B5EF4-FFF2-40B4-BE49-F238E27FC236}">
              <a16:creationId xmlns:a16="http://schemas.microsoft.com/office/drawing/2014/main" id="{00000000-0008-0000-0200-000032010000}"/>
            </a:ext>
          </a:extLst>
        </xdr:cNvPr>
        <xdr:cNvCxnSpPr/>
      </xdr:nvCxnSpPr>
      <xdr:spPr>
        <a:xfrm flipV="1">
          <a:off x="10703404" y="12605846"/>
          <a:ext cx="0" cy="1280947"/>
        </a:xfrm>
        <a:prstGeom prst="straightConnector1">
          <a:avLst/>
        </a:prstGeom>
        <a:ln w="19050">
          <a:solidFill>
            <a:sysClr val="windowText" lastClr="000000"/>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578582</xdr:colOff>
      <xdr:row>71</xdr:row>
      <xdr:rowOff>34885</xdr:rowOff>
    </xdr:from>
    <xdr:to>
      <xdr:col>20</xdr:col>
      <xdr:colOff>421800</xdr:colOff>
      <xdr:row>75</xdr:row>
      <xdr:rowOff>21435</xdr:rowOff>
    </xdr:to>
    <xdr:grpSp>
      <xdr:nvGrpSpPr>
        <xdr:cNvPr id="317" name="Group 316">
          <a:extLst>
            <a:ext uri="{FF2B5EF4-FFF2-40B4-BE49-F238E27FC236}">
              <a16:creationId xmlns:a16="http://schemas.microsoft.com/office/drawing/2014/main" id="{00000000-0008-0000-0200-00003D010000}"/>
            </a:ext>
          </a:extLst>
        </xdr:cNvPr>
        <xdr:cNvGrpSpPr/>
      </xdr:nvGrpSpPr>
      <xdr:grpSpPr>
        <a:xfrm>
          <a:off x="11634771" y="13305187"/>
          <a:ext cx="1050916" cy="734173"/>
          <a:chOff x="11575030" y="13573523"/>
          <a:chExt cx="1065046" cy="748550"/>
        </a:xfrm>
      </xdr:grpSpPr>
      <xdr:sp macro="" textlink="">
        <xdr:nvSpPr>
          <xdr:cNvPr id="305" name="Rectangle 304">
            <a:extLst>
              <a:ext uri="{FF2B5EF4-FFF2-40B4-BE49-F238E27FC236}">
                <a16:creationId xmlns:a16="http://schemas.microsoft.com/office/drawing/2014/main" id="{00000000-0008-0000-0200-000031010000}"/>
              </a:ext>
            </a:extLst>
          </xdr:cNvPr>
          <xdr:cNvSpPr/>
        </xdr:nvSpPr>
        <xdr:spPr>
          <a:xfrm>
            <a:off x="11624493" y="13573523"/>
            <a:ext cx="1015583"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SRAM</a:t>
            </a:r>
          </a:p>
        </xdr:txBody>
      </xdr:sp>
      <xdr:sp macro="" textlink="">
        <xdr:nvSpPr>
          <xdr:cNvPr id="311" name="TextBox 310">
            <a:extLst>
              <a:ext uri="{FF2B5EF4-FFF2-40B4-BE49-F238E27FC236}">
                <a16:creationId xmlns:a16="http://schemas.microsoft.com/office/drawing/2014/main" id="{00000000-0008-0000-0200-000037010000}"/>
              </a:ext>
            </a:extLst>
          </xdr:cNvPr>
          <xdr:cNvSpPr txBox="1"/>
        </xdr:nvSpPr>
        <xdr:spPr>
          <a:xfrm>
            <a:off x="11575030" y="13574851"/>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sp macro="" textlink="">
        <xdr:nvSpPr>
          <xdr:cNvPr id="312" name="TextBox 311">
            <a:extLst>
              <a:ext uri="{FF2B5EF4-FFF2-40B4-BE49-F238E27FC236}">
                <a16:creationId xmlns:a16="http://schemas.microsoft.com/office/drawing/2014/main" id="{00000000-0008-0000-0200-000038010000}"/>
              </a:ext>
            </a:extLst>
          </xdr:cNvPr>
          <xdr:cNvSpPr txBox="1"/>
        </xdr:nvSpPr>
        <xdr:spPr>
          <a:xfrm>
            <a:off x="11582912" y="14141098"/>
            <a:ext cx="62963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array</a:t>
            </a:r>
          </a:p>
        </xdr:txBody>
      </xdr:sp>
    </xdr:grpSp>
    <xdr:clientData/>
  </xdr:twoCellAnchor>
  <xdr:twoCellAnchor>
    <xdr:from>
      <xdr:col>17</xdr:col>
      <xdr:colOff>315311</xdr:colOff>
      <xdr:row>71</xdr:row>
      <xdr:rowOff>124810</xdr:rowOff>
    </xdr:from>
    <xdr:to>
      <xdr:col>18</xdr:col>
      <xdr:colOff>578582</xdr:colOff>
      <xdr:row>71</xdr:row>
      <xdr:rowOff>126701</xdr:rowOff>
    </xdr:to>
    <xdr:cxnSp macro="">
      <xdr:nvCxnSpPr>
        <xdr:cNvPr id="313" name="Straight Arrow Connector 312">
          <a:extLst>
            <a:ext uri="{FF2B5EF4-FFF2-40B4-BE49-F238E27FC236}">
              <a16:creationId xmlns:a16="http://schemas.microsoft.com/office/drawing/2014/main" id="{00000000-0008-0000-0200-000039010000}"/>
            </a:ext>
          </a:extLst>
        </xdr:cNvPr>
        <xdr:cNvCxnSpPr>
          <a:endCxn id="311" idx="1"/>
        </xdr:cNvCxnSpPr>
      </xdr:nvCxnSpPr>
      <xdr:spPr>
        <a:xfrm>
          <a:off x="10700845" y="13663448"/>
          <a:ext cx="874185" cy="1891"/>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290350</xdr:colOff>
      <xdr:row>74</xdr:row>
      <xdr:rowOff>104348</xdr:rowOff>
    </xdr:from>
    <xdr:to>
      <xdr:col>18</xdr:col>
      <xdr:colOff>562819</xdr:colOff>
      <xdr:row>74</xdr:row>
      <xdr:rowOff>104348</xdr:rowOff>
    </xdr:to>
    <xdr:cxnSp macro="">
      <xdr:nvCxnSpPr>
        <xdr:cNvPr id="316" name="Straight Arrow Connector 315">
          <a:extLst>
            <a:ext uri="{FF2B5EF4-FFF2-40B4-BE49-F238E27FC236}">
              <a16:creationId xmlns:a16="http://schemas.microsoft.com/office/drawing/2014/main" id="{00000000-0008-0000-0200-00003C010000}"/>
            </a:ext>
          </a:extLst>
        </xdr:cNvPr>
        <xdr:cNvCxnSpPr/>
      </xdr:nvCxnSpPr>
      <xdr:spPr>
        <a:xfrm>
          <a:off x="5788574" y="14214486"/>
          <a:ext cx="5770693" cy="0"/>
        </a:xfrm>
        <a:prstGeom prst="straightConnector1">
          <a:avLst/>
        </a:prstGeom>
        <a:ln w="19050">
          <a:solidFill>
            <a:schemeClr val="accent2"/>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122464</xdr:colOff>
      <xdr:row>0</xdr:row>
      <xdr:rowOff>0</xdr:rowOff>
    </xdr:from>
    <xdr:ext cx="4840942" cy="679174"/>
    <xdr:sp macro="" textlink="">
      <xdr:nvSpPr>
        <xdr:cNvPr id="200" name="TextBox 199">
          <a:extLst>
            <a:ext uri="{FF2B5EF4-FFF2-40B4-BE49-F238E27FC236}">
              <a16:creationId xmlns:a16="http://schemas.microsoft.com/office/drawing/2014/main" id="{00000000-0008-0000-0200-0000C8000000}"/>
            </a:ext>
          </a:extLst>
        </xdr:cNvPr>
        <xdr:cNvSpPr txBox="1"/>
      </xdr:nvSpPr>
      <xdr:spPr>
        <a:xfrm>
          <a:off x="5025768" y="0"/>
          <a:ext cx="4840942" cy="67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MPC574xP Peripheral Clocking</a:t>
          </a:r>
        </a:p>
      </xdr:txBody>
    </xdr:sp>
    <xdr:clientData/>
  </xdr:oneCellAnchor>
  <xdr:oneCellAnchor>
    <xdr:from>
      <xdr:col>16</xdr:col>
      <xdr:colOff>461596</xdr:colOff>
      <xdr:row>18</xdr:row>
      <xdr:rowOff>153866</xdr:rowOff>
    </xdr:from>
    <xdr:ext cx="942975" cy="257176"/>
    <xdr:sp macro="" textlink="">
      <xdr:nvSpPr>
        <xdr:cNvPr id="209" name="TextBox 208">
          <a:hlinkClick xmlns:r="http://schemas.openxmlformats.org/officeDocument/2006/relationships" r:id="rId8"/>
          <a:extLst>
            <a:ext uri="{FF2B5EF4-FFF2-40B4-BE49-F238E27FC236}">
              <a16:creationId xmlns:a16="http://schemas.microsoft.com/office/drawing/2014/main" id="{00000000-0008-0000-0200-0000D1000000}"/>
            </a:ext>
          </a:extLst>
        </xdr:cNvPr>
        <xdr:cNvSpPr txBox="1"/>
      </xdr:nvSpPr>
      <xdr:spPr>
        <a:xfrm>
          <a:off x="10191750" y="3582866"/>
          <a:ext cx="94297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ADC_CLK</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3</xdr:col>
      <xdr:colOff>466725</xdr:colOff>
      <xdr:row>1</xdr:row>
      <xdr:rowOff>28575</xdr:rowOff>
    </xdr:from>
    <xdr:ext cx="4840942" cy="679174"/>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295525" y="219075"/>
          <a:ext cx="4840942" cy="67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MPC574xP LFAST</a:t>
          </a:r>
          <a:r>
            <a:rPr lang="en-US" sz="2800" b="1" baseline="0"/>
            <a:t> Clocking</a:t>
          </a:r>
          <a:endParaRPr lang="en-US" sz="2800" b="1"/>
        </a:p>
      </xdr:txBody>
    </xdr:sp>
    <xdr:clientData/>
  </xdr:oneCellAnchor>
  <xdr:twoCellAnchor>
    <xdr:from>
      <xdr:col>3</xdr:col>
      <xdr:colOff>19050</xdr:colOff>
      <xdr:row>6</xdr:row>
      <xdr:rowOff>9525</xdr:rowOff>
    </xdr:from>
    <xdr:to>
      <xdr:col>11</xdr:col>
      <xdr:colOff>562017</xdr:colOff>
      <xdr:row>59</xdr:row>
      <xdr:rowOff>184924</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834403" y="1152525"/>
          <a:ext cx="5383908" cy="10899428"/>
          <a:chOff x="1839058" y="1150326"/>
          <a:chExt cx="5443903" cy="10070127"/>
        </a:xfrm>
      </xdr:grpSpPr>
      <xdr:grpSp>
        <xdr:nvGrpSpPr>
          <xdr:cNvPr id="4" name="Group 150">
            <a:extLst>
              <a:ext uri="{FF2B5EF4-FFF2-40B4-BE49-F238E27FC236}">
                <a16:creationId xmlns:a16="http://schemas.microsoft.com/office/drawing/2014/main" id="{00000000-0008-0000-0300-000004000000}"/>
              </a:ext>
            </a:extLst>
          </xdr:cNvPr>
          <xdr:cNvGrpSpPr/>
        </xdr:nvGrpSpPr>
        <xdr:grpSpPr>
          <a:xfrm>
            <a:off x="1839058" y="1150326"/>
            <a:ext cx="5443903" cy="10070127"/>
            <a:chOff x="1839058" y="1150326"/>
            <a:chExt cx="5443903" cy="10070127"/>
          </a:xfrm>
        </xdr:grpSpPr>
        <xdr:grpSp>
          <xdr:nvGrpSpPr>
            <xdr:cNvPr id="6" name="Group 148">
              <a:extLst>
                <a:ext uri="{FF2B5EF4-FFF2-40B4-BE49-F238E27FC236}">
                  <a16:creationId xmlns:a16="http://schemas.microsoft.com/office/drawing/2014/main" id="{00000000-0008-0000-0300-000006000000}"/>
                </a:ext>
              </a:extLst>
            </xdr:cNvPr>
            <xdr:cNvGrpSpPr/>
          </xdr:nvGrpSpPr>
          <xdr:grpSpPr>
            <a:xfrm>
              <a:off x="1839058" y="1150326"/>
              <a:ext cx="5443903" cy="10070127"/>
              <a:chOff x="1846052" y="1150326"/>
              <a:chExt cx="5462553" cy="10004355"/>
            </a:xfrm>
          </xdr:grpSpPr>
          <xdr:grpSp>
            <xdr:nvGrpSpPr>
              <xdr:cNvPr id="8" name="Group 94">
                <a:extLst>
                  <a:ext uri="{FF2B5EF4-FFF2-40B4-BE49-F238E27FC236}">
                    <a16:creationId xmlns:a16="http://schemas.microsoft.com/office/drawing/2014/main" id="{00000000-0008-0000-0300-000008000000}"/>
                  </a:ext>
                </a:extLst>
              </xdr:cNvPr>
              <xdr:cNvGrpSpPr/>
            </xdr:nvGrpSpPr>
            <xdr:grpSpPr>
              <a:xfrm>
                <a:off x="1846052" y="1150326"/>
                <a:ext cx="5462553" cy="10004355"/>
                <a:chOff x="1843454" y="1150326"/>
                <a:chExt cx="5455626" cy="9715276"/>
              </a:xfrm>
            </xdr:grpSpPr>
            <xdr:grpSp>
              <xdr:nvGrpSpPr>
                <xdr:cNvPr id="16" name="Group 68">
                  <a:extLst>
                    <a:ext uri="{FF2B5EF4-FFF2-40B4-BE49-F238E27FC236}">
                      <a16:creationId xmlns:a16="http://schemas.microsoft.com/office/drawing/2014/main" id="{00000000-0008-0000-0300-000010000000}"/>
                    </a:ext>
                  </a:extLst>
                </xdr:cNvPr>
                <xdr:cNvGrpSpPr/>
              </xdr:nvGrpSpPr>
              <xdr:grpSpPr>
                <a:xfrm>
                  <a:off x="1843454" y="1150326"/>
                  <a:ext cx="5455626" cy="9715276"/>
                  <a:chOff x="1839058" y="1150326"/>
                  <a:chExt cx="5443903" cy="9711828"/>
                </a:xfrm>
              </xdr:grpSpPr>
              <xdr:cxnSp macro="">
                <xdr:nvCxnSpPr>
                  <xdr:cNvPr id="18" name="Straight Arrow Connector 17">
                    <a:extLst>
                      <a:ext uri="{FF2B5EF4-FFF2-40B4-BE49-F238E27FC236}">
                        <a16:creationId xmlns:a16="http://schemas.microsoft.com/office/drawing/2014/main" id="{00000000-0008-0000-0300-000012000000}"/>
                      </a:ext>
                    </a:extLst>
                  </xdr:cNvPr>
                  <xdr:cNvCxnSpPr/>
                </xdr:nvCxnSpPr>
                <xdr:spPr>
                  <a:xfrm>
                    <a:off x="4561064" y="10667832"/>
                    <a:ext cx="0" cy="194322"/>
                  </a:xfrm>
                  <a:prstGeom prst="straightConnector1">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3304442" y="10657399"/>
                    <a:ext cx="2586404" cy="0"/>
                  </a:xfrm>
                  <a:prstGeom prst="straightConnector1">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3259015" y="10384840"/>
                    <a:ext cx="1159120" cy="2890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System Bus Clock</a:t>
                    </a:r>
                  </a:p>
                </xdr:txBody>
              </xdr: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4803531" y="10222182"/>
                    <a:ext cx="1159120" cy="442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System Side Module</a:t>
                    </a:r>
                    <a:r>
                      <a:rPr lang="en-US" sz="1000" b="1" baseline="0"/>
                      <a:t> </a:t>
                    </a:r>
                    <a:r>
                      <a:rPr lang="en-US" sz="1000" b="1"/>
                      <a:t>Clock</a:t>
                    </a:r>
                  </a:p>
                </xdr:txBody>
              </xdr:sp>
              <xdr:grpSp>
                <xdr:nvGrpSpPr>
                  <xdr:cNvPr id="22" name="Group 54">
                    <a:extLst>
                      <a:ext uri="{FF2B5EF4-FFF2-40B4-BE49-F238E27FC236}">
                        <a16:creationId xmlns:a16="http://schemas.microsoft.com/office/drawing/2014/main" id="{00000000-0008-0000-0300-000016000000}"/>
                      </a:ext>
                    </a:extLst>
                  </xdr:cNvPr>
                  <xdr:cNvGrpSpPr/>
                </xdr:nvGrpSpPr>
                <xdr:grpSpPr>
                  <a:xfrm>
                    <a:off x="1839058" y="1150326"/>
                    <a:ext cx="5443903" cy="8191501"/>
                    <a:chOff x="1839058" y="1150326"/>
                    <a:chExt cx="5443903" cy="8154866"/>
                  </a:xfrm>
                </xdr:grpSpPr>
                <xdr:grpSp>
                  <xdr:nvGrpSpPr>
                    <xdr:cNvPr id="25" name="Group 50">
                      <a:extLst>
                        <a:ext uri="{FF2B5EF4-FFF2-40B4-BE49-F238E27FC236}">
                          <a16:creationId xmlns:a16="http://schemas.microsoft.com/office/drawing/2014/main" id="{00000000-0008-0000-0300-000019000000}"/>
                        </a:ext>
                      </a:extLst>
                    </xdr:cNvPr>
                    <xdr:cNvGrpSpPr/>
                  </xdr:nvGrpSpPr>
                  <xdr:grpSpPr>
                    <a:xfrm>
                      <a:off x="1839058" y="1150326"/>
                      <a:ext cx="5443903" cy="8154866"/>
                      <a:chOff x="1839058" y="1150326"/>
                      <a:chExt cx="5443903" cy="8154866"/>
                    </a:xfrm>
                  </xdr:grpSpPr>
                  <xdr:grpSp>
                    <xdr:nvGrpSpPr>
                      <xdr:cNvPr id="28" name="Group 48">
                        <a:extLst>
                          <a:ext uri="{FF2B5EF4-FFF2-40B4-BE49-F238E27FC236}">
                            <a16:creationId xmlns:a16="http://schemas.microsoft.com/office/drawing/2014/main" id="{00000000-0008-0000-0300-00001C000000}"/>
                          </a:ext>
                        </a:extLst>
                      </xdr:cNvPr>
                      <xdr:cNvGrpSpPr/>
                    </xdr:nvGrpSpPr>
                    <xdr:grpSpPr>
                      <a:xfrm>
                        <a:off x="1839058" y="1150326"/>
                        <a:ext cx="5443903" cy="8154866"/>
                        <a:chOff x="1839058" y="1150326"/>
                        <a:chExt cx="5443903" cy="8154866"/>
                      </a:xfrm>
                    </xdr:grpSpPr>
                    <xdr:sp macro="" textlink="">
                      <xdr:nvSpPr>
                        <xdr:cNvPr id="33" name="Rectangle 32">
                          <a:extLst>
                            <a:ext uri="{FF2B5EF4-FFF2-40B4-BE49-F238E27FC236}">
                              <a16:creationId xmlns:a16="http://schemas.microsoft.com/office/drawing/2014/main" id="{00000000-0008-0000-0300-000021000000}"/>
                            </a:ext>
                          </a:extLst>
                        </xdr:cNvPr>
                        <xdr:cNvSpPr/>
                      </xdr:nvSpPr>
                      <xdr:spPr>
                        <a:xfrm>
                          <a:off x="1839058" y="1150326"/>
                          <a:ext cx="5443903" cy="8154866"/>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4000"/>
                            <a:t>LFAST</a:t>
                          </a:r>
                        </a:p>
                      </xdr:txBody>
                    </xdr:sp>
                    <xdr:grpSp>
                      <xdr:nvGrpSpPr>
                        <xdr:cNvPr id="34" name="Group 33">
                          <a:extLst>
                            <a:ext uri="{FF2B5EF4-FFF2-40B4-BE49-F238E27FC236}">
                              <a16:creationId xmlns:a16="http://schemas.microsoft.com/office/drawing/2014/main" id="{00000000-0008-0000-0300-000022000000}"/>
                            </a:ext>
                          </a:extLst>
                        </xdr:cNvPr>
                        <xdr:cNvGrpSpPr/>
                      </xdr:nvGrpSpPr>
                      <xdr:grpSpPr>
                        <a:xfrm>
                          <a:off x="2117480" y="5553808"/>
                          <a:ext cx="4887058" cy="3509596"/>
                          <a:chOff x="2117480" y="5553808"/>
                          <a:chExt cx="4887058" cy="3509596"/>
                        </a:xfrm>
                      </xdr:grpSpPr>
                      <xdr:grpSp>
                        <xdr:nvGrpSpPr>
                          <xdr:cNvPr id="42" name="Group 27">
                            <a:extLst>
                              <a:ext uri="{FF2B5EF4-FFF2-40B4-BE49-F238E27FC236}">
                                <a16:creationId xmlns:a16="http://schemas.microsoft.com/office/drawing/2014/main" id="{00000000-0008-0000-0300-00002A000000}"/>
                              </a:ext>
                            </a:extLst>
                          </xdr:cNvPr>
                          <xdr:cNvGrpSpPr/>
                        </xdr:nvGrpSpPr>
                        <xdr:grpSpPr>
                          <a:xfrm>
                            <a:off x="2117480" y="5553808"/>
                            <a:ext cx="4887058" cy="3509596"/>
                            <a:chOff x="2117480" y="5553808"/>
                            <a:chExt cx="4887058" cy="3509596"/>
                          </a:xfrm>
                        </xdr:grpSpPr>
                        <xdr:sp macro="" textlink="">
                          <xdr:nvSpPr>
                            <xdr:cNvPr id="46" name="Rectangle 45">
                              <a:extLst>
                                <a:ext uri="{FF2B5EF4-FFF2-40B4-BE49-F238E27FC236}">
                                  <a16:creationId xmlns:a16="http://schemas.microsoft.com/office/drawing/2014/main" id="{00000000-0008-0000-0300-00002E000000}"/>
                                </a:ext>
                              </a:extLst>
                            </xdr:cNvPr>
                            <xdr:cNvSpPr/>
                          </xdr:nvSpPr>
                          <xdr:spPr>
                            <a:xfrm>
                              <a:off x="2117480" y="5553808"/>
                              <a:ext cx="4887058" cy="3509596"/>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sp macro="" textlink="">
                          <xdr:nvSpPr>
                            <xdr:cNvPr id="47" name="TextBox 26">
                              <a:extLst>
                                <a:ext uri="{FF2B5EF4-FFF2-40B4-BE49-F238E27FC236}">
                                  <a16:creationId xmlns:a16="http://schemas.microsoft.com/office/drawing/2014/main" id="{00000000-0008-0000-0300-00002F000000}"/>
                                </a:ext>
                              </a:extLst>
                            </xdr:cNvPr>
                            <xdr:cNvSpPr txBox="1"/>
                          </xdr:nvSpPr>
                          <xdr:spPr>
                            <a:xfrm>
                              <a:off x="3150577" y="5634404"/>
                              <a:ext cx="2681654" cy="395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LFAST</a:t>
                              </a:r>
                              <a:r>
                                <a:rPr lang="en-US" sz="1800" baseline="0">
                                  <a:solidFill>
                                    <a:schemeClr val="bg1"/>
                                  </a:solidFill>
                                </a:rPr>
                                <a:t> Core</a:t>
                              </a:r>
                              <a:endParaRPr lang="en-US" sz="1800">
                                <a:solidFill>
                                  <a:schemeClr val="bg1"/>
                                </a:solidFill>
                              </a:endParaRPr>
                            </a:p>
                          </xdr:txBody>
                        </xdr:sp>
                      </xdr:grpSp>
                      <xdr:sp macro="" textlink="">
                        <xdr:nvSpPr>
                          <xdr:cNvPr id="43" name="Rectangle 42">
                            <a:extLst>
                              <a:ext uri="{FF2B5EF4-FFF2-40B4-BE49-F238E27FC236}">
                                <a16:creationId xmlns:a16="http://schemas.microsoft.com/office/drawing/2014/main" id="{00000000-0008-0000-0300-00002B000000}"/>
                              </a:ext>
                            </a:extLst>
                          </xdr:cNvPr>
                          <xdr:cNvSpPr/>
                        </xdr:nvSpPr>
                        <xdr:spPr>
                          <a:xfrm>
                            <a:off x="5260731" y="7546732"/>
                            <a:ext cx="1253072" cy="12034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System Side Module Interface</a:t>
                            </a:r>
                            <a:endParaRPr lang="en-US" sz="900"/>
                          </a:p>
                        </xdr:txBody>
                      </xdr:sp>
                      <xdr:sp macro="" textlink="">
                        <xdr:nvSpPr>
                          <xdr:cNvPr id="44" name="Rectangle 43">
                            <a:extLst>
                              <a:ext uri="{FF2B5EF4-FFF2-40B4-BE49-F238E27FC236}">
                                <a16:creationId xmlns:a16="http://schemas.microsoft.com/office/drawing/2014/main" id="{00000000-0008-0000-0300-00002C000000}"/>
                              </a:ext>
                            </a:extLst>
                          </xdr:cNvPr>
                          <xdr:cNvSpPr/>
                        </xdr:nvSpPr>
                        <xdr:spPr>
                          <a:xfrm>
                            <a:off x="2527788" y="6103328"/>
                            <a:ext cx="1611924" cy="11283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LFAST Domain Logic</a:t>
                            </a:r>
                            <a:endParaRPr lang="en-US" sz="900"/>
                          </a:p>
                        </xdr:txBody>
                      </xdr:sp>
                      <xdr:sp macro="" textlink="">
                        <xdr:nvSpPr>
                          <xdr:cNvPr id="45" name="Rectangle 44">
                            <a:extLst>
                              <a:ext uri="{FF2B5EF4-FFF2-40B4-BE49-F238E27FC236}">
                                <a16:creationId xmlns:a16="http://schemas.microsoft.com/office/drawing/2014/main" id="{00000000-0008-0000-0300-00002D000000}"/>
                              </a:ext>
                            </a:extLst>
                          </xdr:cNvPr>
                          <xdr:cNvSpPr/>
                        </xdr:nvSpPr>
                        <xdr:spPr>
                          <a:xfrm>
                            <a:off x="2491153" y="8001000"/>
                            <a:ext cx="1773116" cy="771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LFAST Register</a:t>
                            </a:r>
                            <a:r>
                              <a:rPr lang="en-US" sz="1100" baseline="0"/>
                              <a:t> Space</a:t>
                            </a:r>
                            <a:endParaRPr lang="en-US" sz="900"/>
                          </a:p>
                        </xdr:txBody>
                      </xdr:sp>
                    </xdr:grpSp>
                    <xdr:grpSp>
                      <xdr:nvGrpSpPr>
                        <xdr:cNvPr id="35" name="Group 42">
                          <a:extLst>
                            <a:ext uri="{FF2B5EF4-FFF2-40B4-BE49-F238E27FC236}">
                              <a16:creationId xmlns:a16="http://schemas.microsoft.com/office/drawing/2014/main" id="{00000000-0008-0000-0300-000023000000}"/>
                            </a:ext>
                          </a:extLst>
                        </xdr:cNvPr>
                        <xdr:cNvGrpSpPr/>
                      </xdr:nvGrpSpPr>
                      <xdr:grpSpPr>
                        <a:xfrm>
                          <a:off x="2173742" y="1912327"/>
                          <a:ext cx="4828443" cy="3106615"/>
                          <a:chOff x="2173742" y="1912327"/>
                          <a:chExt cx="4828443" cy="3106615"/>
                        </a:xfrm>
                      </xdr:grpSpPr>
                      <xdr:grpSp>
                        <xdr:nvGrpSpPr>
                          <xdr:cNvPr id="36" name="Group 24">
                            <a:extLst>
                              <a:ext uri="{FF2B5EF4-FFF2-40B4-BE49-F238E27FC236}">
                                <a16:creationId xmlns:a16="http://schemas.microsoft.com/office/drawing/2014/main" id="{00000000-0008-0000-0300-000024000000}"/>
                              </a:ext>
                            </a:extLst>
                          </xdr:cNvPr>
                          <xdr:cNvGrpSpPr/>
                        </xdr:nvGrpSpPr>
                        <xdr:grpSpPr>
                          <a:xfrm>
                            <a:off x="2173742" y="1912327"/>
                            <a:ext cx="4828443" cy="3106615"/>
                            <a:chOff x="2173742" y="1912327"/>
                            <a:chExt cx="4828443" cy="3106615"/>
                          </a:xfrm>
                        </xdr:grpSpPr>
                        <xdr:sp macro="" textlink="">
                          <xdr:nvSpPr>
                            <xdr:cNvPr id="40" name="Rectangle: Rounded Corners 22">
                              <a:extLst>
                                <a:ext uri="{FF2B5EF4-FFF2-40B4-BE49-F238E27FC236}">
                                  <a16:creationId xmlns:a16="http://schemas.microsoft.com/office/drawing/2014/main" id="{00000000-0008-0000-0300-000028000000}"/>
                                </a:ext>
                              </a:extLst>
                            </xdr:cNvPr>
                            <xdr:cNvSpPr/>
                          </xdr:nvSpPr>
                          <xdr:spPr>
                            <a:xfrm>
                              <a:off x="2173742" y="1912327"/>
                              <a:ext cx="4828443" cy="3106615"/>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23">
                              <a:extLst>
                                <a:ext uri="{FF2B5EF4-FFF2-40B4-BE49-F238E27FC236}">
                                  <a16:creationId xmlns:a16="http://schemas.microsoft.com/office/drawing/2014/main" id="{00000000-0008-0000-0300-000029000000}"/>
                                </a:ext>
                              </a:extLst>
                            </xdr:cNvPr>
                            <xdr:cNvSpPr txBox="1"/>
                          </xdr:nvSpPr>
                          <xdr:spPr>
                            <a:xfrm>
                              <a:off x="3099289" y="1970942"/>
                              <a:ext cx="2681654" cy="395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LFAST</a:t>
                              </a:r>
                              <a:r>
                                <a:rPr lang="en-US" sz="1800" baseline="0">
                                  <a:solidFill>
                                    <a:schemeClr val="bg1"/>
                                  </a:solidFill>
                                </a:rPr>
                                <a:t> Top Module</a:t>
                              </a:r>
                              <a:endParaRPr lang="en-US" sz="1800">
                                <a:solidFill>
                                  <a:schemeClr val="bg1"/>
                                </a:solidFill>
                              </a:endParaRPr>
                            </a:p>
                          </xdr:txBody>
                        </xdr:sp>
                      </xdr:grpSp>
                      <xdr:grpSp>
                        <xdr:nvGrpSpPr>
                          <xdr:cNvPr id="37" name="Group 36">
                            <a:extLst>
                              <a:ext uri="{FF2B5EF4-FFF2-40B4-BE49-F238E27FC236}">
                                <a16:creationId xmlns:a16="http://schemas.microsoft.com/office/drawing/2014/main" id="{00000000-0008-0000-0300-000025000000}"/>
                              </a:ext>
                            </a:extLst>
                          </xdr:cNvPr>
                          <xdr:cNvGrpSpPr/>
                        </xdr:nvGrpSpPr>
                        <xdr:grpSpPr>
                          <a:xfrm>
                            <a:off x="4388827" y="2351942"/>
                            <a:ext cx="2286000" cy="2476500"/>
                            <a:chOff x="4388827" y="2351942"/>
                            <a:chExt cx="2286000" cy="2476500"/>
                          </a:xfrm>
                        </xdr:grpSpPr>
                        <xdr:sp macro="" textlink="">
                          <xdr:nvSpPr>
                            <xdr:cNvPr id="38" name="Rectangle 39">
                              <a:extLst>
                                <a:ext uri="{FF2B5EF4-FFF2-40B4-BE49-F238E27FC236}">
                                  <a16:creationId xmlns:a16="http://schemas.microsoft.com/office/drawing/2014/main" id="{00000000-0008-0000-0300-000026000000}"/>
                                </a:ext>
                              </a:extLst>
                            </xdr:cNvPr>
                            <xdr:cNvSpPr/>
                          </xdr:nvSpPr>
                          <xdr:spPr>
                            <a:xfrm>
                              <a:off x="4388827" y="2395903"/>
                              <a:ext cx="2286000" cy="2432539"/>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sp macro="" textlink="">
                          <xdr:nvSpPr>
                            <xdr:cNvPr id="39" name="TextBox 40">
                              <a:extLst>
                                <a:ext uri="{FF2B5EF4-FFF2-40B4-BE49-F238E27FC236}">
                                  <a16:creationId xmlns:a16="http://schemas.microsoft.com/office/drawing/2014/main" id="{00000000-0008-0000-0300-000027000000}"/>
                                </a:ext>
                              </a:extLst>
                            </xdr:cNvPr>
                            <xdr:cNvSpPr txBox="1"/>
                          </xdr:nvSpPr>
                          <xdr:spPr>
                            <a:xfrm>
                              <a:off x="4462096" y="2351942"/>
                              <a:ext cx="2132134" cy="395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rPr>
                                <a:t>Clock Control Module</a:t>
                              </a:r>
                            </a:p>
                          </xdr:txBody>
                        </xdr:sp>
                      </xdr:grpSp>
                    </xdr:grpSp>
                  </xdr:grpSp>
                  <xdr:grpSp>
                    <xdr:nvGrpSpPr>
                      <xdr:cNvPr id="29" name="Group 49">
                        <a:extLst>
                          <a:ext uri="{FF2B5EF4-FFF2-40B4-BE49-F238E27FC236}">
                            <a16:creationId xmlns:a16="http://schemas.microsoft.com/office/drawing/2014/main" id="{00000000-0008-0000-0300-00001D000000}"/>
                          </a:ext>
                        </a:extLst>
                      </xdr:cNvPr>
                      <xdr:cNvGrpSpPr/>
                    </xdr:nvGrpSpPr>
                    <xdr:grpSpPr>
                      <a:xfrm>
                        <a:off x="3289787" y="3472962"/>
                        <a:ext cx="3143418" cy="2070013"/>
                        <a:chOff x="3289787" y="3472962"/>
                        <a:chExt cx="3143418" cy="2070013"/>
                      </a:xfrm>
                    </xdr:grpSpPr>
                    <xdr:cxnSp macro="">
                      <xdr:nvCxnSpPr>
                        <xdr:cNvPr id="30" name="Straight Arrow Connector 29">
                          <a:extLst>
                            <a:ext uri="{FF2B5EF4-FFF2-40B4-BE49-F238E27FC236}">
                              <a16:creationId xmlns:a16="http://schemas.microsoft.com/office/drawing/2014/main" id="{00000000-0008-0000-0300-00001E000000}"/>
                            </a:ext>
                          </a:extLst>
                        </xdr:cNvPr>
                        <xdr:cNvCxnSpPr/>
                      </xdr:nvCxnSpPr>
                      <xdr:spPr>
                        <a:xfrm>
                          <a:off x="4615962" y="4857750"/>
                          <a:ext cx="0" cy="685225"/>
                        </a:xfrm>
                        <a:prstGeom prst="straightConnector1">
                          <a:avLst/>
                        </a:prstGeom>
                        <a:ln w="19050">
                          <a:solidFill>
                            <a:sysClr val="windowText" lastClr="000000"/>
                          </a:solidFill>
                          <a:headEnd type="triangle"/>
                          <a:tailEnd type="none"/>
                        </a:ln>
                      </xdr:spPr>
                      <xdr:style>
                        <a:lnRef idx="1">
                          <a:schemeClr val="dk1"/>
                        </a:lnRef>
                        <a:fillRef idx="0">
                          <a:schemeClr val="dk1"/>
                        </a:fillRef>
                        <a:effectRef idx="0">
                          <a:schemeClr val="dk1"/>
                        </a:effectRef>
                        <a:fontRef idx="minor">
                          <a:schemeClr val="tx1"/>
                        </a:fontRef>
                      </xdr:style>
                    </xdr:cxnSp>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3289787" y="5158153"/>
                          <a:ext cx="1356949" cy="289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Tx/Rx Clocks Enables</a:t>
                          </a:r>
                        </a:p>
                      </xdr:txBody>
                    </xdr:sp>
                    <xdr:sp macro="" textlink="">
                      <xdr:nvSpPr>
                        <xdr:cNvPr id="32" name="Rectangle 31">
                          <a:extLst>
                            <a:ext uri="{FF2B5EF4-FFF2-40B4-BE49-F238E27FC236}">
                              <a16:creationId xmlns:a16="http://schemas.microsoft.com/office/drawing/2014/main" id="{00000000-0008-0000-0300-000020000000}"/>
                            </a:ext>
                          </a:extLst>
                        </xdr:cNvPr>
                        <xdr:cNvSpPr/>
                      </xdr:nvSpPr>
                      <xdr:spPr>
                        <a:xfrm>
                          <a:off x="5180134" y="3472962"/>
                          <a:ext cx="1253071" cy="12034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Clock Muxing</a:t>
                          </a:r>
                          <a:endParaRPr lang="en-US" sz="900"/>
                        </a:p>
                      </xdr:txBody>
                    </xdr:sp>
                  </xdr:grpSp>
                </xdr:grpSp>
                <xdr:cxnSp macro="">
                  <xdr:nvCxnSpPr>
                    <xdr:cNvPr id="26" name="Straight Arrow Connector 25">
                      <a:extLst>
                        <a:ext uri="{FF2B5EF4-FFF2-40B4-BE49-F238E27FC236}">
                          <a16:creationId xmlns:a16="http://schemas.microsoft.com/office/drawing/2014/main" id="{00000000-0008-0000-0300-00001A000000}"/>
                        </a:ext>
                      </a:extLst>
                    </xdr:cNvPr>
                    <xdr:cNvCxnSpPr/>
                  </xdr:nvCxnSpPr>
                  <xdr:spPr>
                    <a:xfrm>
                      <a:off x="6258335" y="4687639"/>
                      <a:ext cx="0" cy="842597"/>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6214498" y="4969262"/>
                      <a:ext cx="861785" cy="289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Rx Clock</a:t>
                      </a:r>
                    </a:p>
                  </xdr:txBody>
                </xdr:sp>
              </xdr:grp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a:off x="3304442" y="8843583"/>
                    <a:ext cx="0" cy="1816418"/>
                  </a:xfrm>
                  <a:prstGeom prst="straightConnector1">
                    <a:avLst/>
                  </a:prstGeom>
                  <a:ln w="19050">
                    <a:solidFill>
                      <a:srgbClr val="00B050"/>
                    </a:solidFill>
                    <a:headEnd type="triangle"/>
                    <a:tailEnd type="none"/>
                  </a:ln>
                </xdr:spPr>
                <xdr:style>
                  <a:lnRef idx="1">
                    <a:schemeClr val="dk1"/>
                  </a:lnRef>
                  <a:fillRef idx="0">
                    <a:schemeClr val="dk1"/>
                  </a:fillRef>
                  <a:effectRef idx="0">
                    <a:schemeClr val="dk1"/>
                  </a:effectRef>
                  <a:fontRef idx="minor">
                    <a:schemeClr val="tx1"/>
                  </a:fontRef>
                </xdr:style>
              </xdr:cxnSp>
              <xdr:cxnSp macro="">
                <xdr:nvCxnSpPr>
                  <xdr:cNvPr id="24" name="Straight Arrow Connector 23">
                    <a:extLst>
                      <a:ext uri="{FF2B5EF4-FFF2-40B4-BE49-F238E27FC236}">
                        <a16:creationId xmlns:a16="http://schemas.microsoft.com/office/drawing/2014/main" id="{00000000-0008-0000-0300-000018000000}"/>
                      </a:ext>
                    </a:extLst>
                  </xdr:cNvPr>
                  <xdr:cNvCxnSpPr/>
                </xdr:nvCxnSpPr>
                <xdr:spPr>
                  <a:xfrm>
                    <a:off x="5896705" y="8842117"/>
                    <a:ext cx="0" cy="1811965"/>
                  </a:xfrm>
                  <a:prstGeom prst="straightConnector1">
                    <a:avLst/>
                  </a:prstGeom>
                  <a:ln w="19050">
                    <a:solidFill>
                      <a:srgbClr val="00B050"/>
                    </a:solidFill>
                    <a:headEnd type="triangle"/>
                    <a:tailEnd type="none"/>
                  </a:ln>
                </xdr:spPr>
                <xdr:style>
                  <a:lnRef idx="1">
                    <a:schemeClr val="dk1"/>
                  </a:lnRef>
                  <a:fillRef idx="0">
                    <a:schemeClr val="dk1"/>
                  </a:fillRef>
                  <a:effectRef idx="0">
                    <a:schemeClr val="dk1"/>
                  </a:effectRef>
                  <a:fontRef idx="minor">
                    <a:schemeClr val="tx1"/>
                  </a:fontRef>
                </xdr:style>
              </xdr:cxnSp>
            </xdr:grpSp>
            <xdr:sp macro="" textlink="">
              <xdr:nvSpPr>
                <xdr:cNvPr id="17" name="Rectangle 16">
                  <a:extLst>
                    <a:ext uri="{FF2B5EF4-FFF2-40B4-BE49-F238E27FC236}">
                      <a16:creationId xmlns:a16="http://schemas.microsoft.com/office/drawing/2014/main" id="{00000000-0008-0000-0300-000011000000}"/>
                    </a:ext>
                  </a:extLst>
                </xdr:cNvPr>
                <xdr:cNvSpPr/>
              </xdr:nvSpPr>
              <xdr:spPr>
                <a:xfrm>
                  <a:off x="4552950" y="2769576"/>
                  <a:ext cx="1962150" cy="3450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Slow speed</a:t>
                  </a:r>
                  <a:r>
                    <a:rPr lang="en-US" sz="1100" baseline="0"/>
                    <a:t> 4-phase generator</a:t>
                  </a:r>
                  <a:endParaRPr lang="en-US" sz="900"/>
                </a:p>
              </xdr:txBody>
            </xdr:sp>
          </xdr:grpSp>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a:off x="5417127" y="3184903"/>
                <a:ext cx="0" cy="343259"/>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300-00000A000000}"/>
                  </a:ext>
                </a:extLst>
              </xdr:cNvPr>
              <xdr:cNvCxnSpPr/>
            </xdr:nvCxnSpPr>
            <xdr:spPr>
              <a:xfrm>
                <a:off x="5665643" y="3171765"/>
                <a:ext cx="0" cy="343259"/>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300-00000B000000}"/>
                  </a:ext>
                </a:extLst>
              </xdr:cNvPr>
              <xdr:cNvCxnSpPr/>
            </xdr:nvCxnSpPr>
            <xdr:spPr>
              <a:xfrm>
                <a:off x="5903768" y="3178334"/>
                <a:ext cx="0" cy="343259"/>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a:off x="6161809" y="3181947"/>
                <a:ext cx="0" cy="343259"/>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sp macro="" textlink="">
            <xdr:nvSpPr>
              <xdr:cNvPr id="13" name="Rectangle 12">
                <a:extLst>
                  <a:ext uri="{FF2B5EF4-FFF2-40B4-BE49-F238E27FC236}">
                    <a16:creationId xmlns:a16="http://schemas.microsoft.com/office/drawing/2014/main" id="{00000000-0008-0000-0300-00000D000000}"/>
                  </a:ext>
                </a:extLst>
              </xdr:cNvPr>
              <xdr:cNvSpPr/>
            </xdr:nvSpPr>
            <xdr:spPr>
              <a:xfrm>
                <a:off x="2803156" y="3248950"/>
                <a:ext cx="1135534" cy="16016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Samplers</a:t>
                </a:r>
                <a:endParaRPr lang="en-US" sz="9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a:off x="3945260" y="4168765"/>
                <a:ext cx="1242154"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3493966" y="3895258"/>
                <a:ext cx="1361594" cy="297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24 Phases</a:t>
                </a:r>
              </a:p>
            </xdr:txBody>
          </xdr:sp>
        </xdr:grpSp>
        <xdr:cxnSp macro="">
          <xdr:nvCxnSpPr>
            <xdr:cNvPr id="7" name="Straight Arrow Connector 6">
              <a:extLst>
                <a:ext uri="{FF2B5EF4-FFF2-40B4-BE49-F238E27FC236}">
                  <a16:creationId xmlns:a16="http://schemas.microsoft.com/office/drawing/2014/main" id="{00000000-0008-0000-0300-000007000000}"/>
                </a:ext>
              </a:extLst>
            </xdr:cNvPr>
            <xdr:cNvCxnSpPr/>
          </xdr:nvCxnSpPr>
          <xdr:spPr>
            <a:xfrm>
              <a:off x="5421465" y="4825234"/>
              <a:ext cx="0" cy="890978"/>
            </a:xfrm>
            <a:prstGeom prst="straightConnector1">
              <a:avLst/>
            </a:prstGeom>
            <a:ln w="19050">
              <a:solidFill>
                <a:sysClr val="windowText" lastClr="000000"/>
              </a:solidFill>
              <a:headEnd type="none"/>
              <a:tailEnd type="triangle"/>
            </a:ln>
          </xdr:spPr>
          <xdr:style>
            <a:lnRef idx="1">
              <a:schemeClr val="dk1"/>
            </a:lnRef>
            <a:fillRef idx="0">
              <a:schemeClr val="dk1"/>
            </a:fillRef>
            <a:effectRef idx="0">
              <a:schemeClr val="dk1"/>
            </a:effectRef>
            <a:fontRef idx="minor">
              <a:schemeClr val="tx1"/>
            </a:fontRef>
          </xdr:style>
        </xdr:cxnSp>
      </xdr:grpSp>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399942" y="5130237"/>
            <a:ext cx="861785" cy="301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Tx Clock</a:t>
            </a:r>
          </a:p>
        </xdr:txBody>
      </xdr:sp>
    </xdr:grpSp>
    <xdr:clientData/>
  </xdr:twoCellAnchor>
  <xdr:oneCellAnchor>
    <xdr:from>
      <xdr:col>3</xdr:col>
      <xdr:colOff>199368</xdr:colOff>
      <xdr:row>81</xdr:row>
      <xdr:rowOff>135526</xdr:rowOff>
    </xdr:from>
    <xdr:ext cx="1094292" cy="257176"/>
    <xdr:sp macro="" textlink="">
      <xdr:nvSpPr>
        <xdr:cNvPr id="48" name="TextBox 47">
          <a:hlinkClick xmlns:r="http://schemas.openxmlformats.org/officeDocument/2006/relationships" r:id="rId1"/>
          <a:extLst>
            <a:ext uri="{FF2B5EF4-FFF2-40B4-BE49-F238E27FC236}">
              <a16:creationId xmlns:a16="http://schemas.microsoft.com/office/drawing/2014/main" id="{00000000-0008-0000-0300-000030000000}"/>
            </a:ext>
          </a:extLst>
        </xdr:cNvPr>
        <xdr:cNvSpPr txBox="1"/>
      </xdr:nvSpPr>
      <xdr:spPr>
        <a:xfrm>
          <a:off x="2032109" y="16071836"/>
          <a:ext cx="109429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lfast_sys_clk</a:t>
          </a:r>
        </a:p>
      </xdr:txBody>
    </xdr:sp>
    <xdr:clientData/>
  </xdr:oneCellAnchor>
  <xdr:twoCellAnchor>
    <xdr:from>
      <xdr:col>6</xdr:col>
      <xdr:colOff>19707</xdr:colOff>
      <xdr:row>82</xdr:row>
      <xdr:rowOff>74563</xdr:rowOff>
    </xdr:from>
    <xdr:to>
      <xdr:col>7</xdr:col>
      <xdr:colOff>406301</xdr:colOff>
      <xdr:row>82</xdr:row>
      <xdr:rowOff>74563</xdr:rowOff>
    </xdr:to>
    <xdr:cxnSp macro="">
      <xdr:nvCxnSpPr>
        <xdr:cNvPr id="49" name="Straight Arrow Connector 48">
          <a:extLst>
            <a:ext uri="{FF2B5EF4-FFF2-40B4-BE49-F238E27FC236}">
              <a16:creationId xmlns:a16="http://schemas.microsoft.com/office/drawing/2014/main" id="{00000000-0008-0000-0300-000031000000}"/>
            </a:ext>
          </a:extLst>
        </xdr:cNvPr>
        <xdr:cNvCxnSpPr/>
      </xdr:nvCxnSpPr>
      <xdr:spPr>
        <a:xfrm>
          <a:off x="3685190" y="16207942"/>
          <a:ext cx="997508"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420955</xdr:colOff>
      <xdr:row>79</xdr:row>
      <xdr:rowOff>170554</xdr:rowOff>
    </xdr:from>
    <xdr:to>
      <xdr:col>9</xdr:col>
      <xdr:colOff>207004</xdr:colOff>
      <xdr:row>83</xdr:row>
      <xdr:rowOff>184484</xdr:rowOff>
    </xdr:to>
    <xdr:sp macro="" textlink="">
      <xdr:nvSpPr>
        <xdr:cNvPr id="50" name="Rectangle 49">
          <a:extLst>
            <a:ext uri="{FF2B5EF4-FFF2-40B4-BE49-F238E27FC236}">
              <a16:creationId xmlns:a16="http://schemas.microsoft.com/office/drawing/2014/main" id="{00000000-0008-0000-0300-000032000000}"/>
            </a:ext>
          </a:extLst>
        </xdr:cNvPr>
        <xdr:cNvSpPr/>
      </xdr:nvSpPr>
      <xdr:spPr>
        <a:xfrm>
          <a:off x="4697352" y="15725864"/>
          <a:ext cx="1007876" cy="8219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Prediv</a:t>
          </a:r>
        </a:p>
        <a:p>
          <a:pPr algn="ctr"/>
          <a:r>
            <a:rPr lang="en-US" sz="1100"/>
            <a:t>/1...4</a:t>
          </a:r>
        </a:p>
        <a:p>
          <a:pPr algn="ctr"/>
          <a:r>
            <a:rPr lang="en-US" sz="900"/>
            <a:t>LFAST_PLLCR[PREDIV]</a:t>
          </a:r>
        </a:p>
      </xdr:txBody>
    </xdr:sp>
    <xdr:clientData/>
  </xdr:twoCellAnchor>
  <xdr:oneCellAnchor>
    <xdr:from>
      <xdr:col>7</xdr:col>
      <xdr:colOff>596801</xdr:colOff>
      <xdr:row>84</xdr:row>
      <xdr:rowOff>176411</xdr:rowOff>
    </xdr:from>
    <xdr:ext cx="1152526" cy="630116"/>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4873198" y="16749911"/>
          <a:ext cx="1152526" cy="630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Direct Clock Passed</a:t>
          </a:r>
        </a:p>
        <a:p>
          <a:r>
            <a:rPr lang="en-US" sz="800"/>
            <a:t>1 - Divide</a:t>
          </a:r>
          <a:r>
            <a:rPr lang="en-US" sz="800" baseline="0"/>
            <a:t> by 2</a:t>
          </a:r>
          <a:endParaRPr lang="en-US" sz="800"/>
        </a:p>
        <a:p>
          <a:r>
            <a:rPr lang="en-US" sz="800"/>
            <a:t>2 - Divide</a:t>
          </a:r>
          <a:r>
            <a:rPr lang="en-US" sz="800" baseline="0"/>
            <a:t> by 3</a:t>
          </a:r>
          <a:br>
            <a:rPr lang="en-US" sz="800"/>
          </a:br>
          <a:r>
            <a:rPr lang="en-US" sz="800"/>
            <a:t>3 - Divide</a:t>
          </a:r>
          <a:r>
            <a:rPr lang="en-US" sz="800" baseline="0"/>
            <a:t> by 4</a:t>
          </a:r>
          <a:endParaRPr lang="en-US" sz="800"/>
        </a:p>
      </xdr:txBody>
    </xdr:sp>
    <xdr:clientData/>
  </xdr:oneCellAnchor>
  <xdr:twoCellAnchor>
    <xdr:from>
      <xdr:col>9</xdr:col>
      <xdr:colOff>206836</xdr:colOff>
      <xdr:row>82</xdr:row>
      <xdr:rowOff>13674</xdr:rowOff>
    </xdr:from>
    <xdr:to>
      <xdr:col>11</xdr:col>
      <xdr:colOff>381044</xdr:colOff>
      <xdr:row>82</xdr:row>
      <xdr:rowOff>13674</xdr:rowOff>
    </xdr:to>
    <xdr:cxnSp macro="">
      <xdr:nvCxnSpPr>
        <xdr:cNvPr id="52" name="Straight Arrow Connector 51">
          <a:extLst>
            <a:ext uri="{FF2B5EF4-FFF2-40B4-BE49-F238E27FC236}">
              <a16:creationId xmlns:a16="http://schemas.microsoft.com/office/drawing/2014/main" id="{00000000-0008-0000-0300-000034000000}"/>
            </a:ext>
          </a:extLst>
        </xdr:cNvPr>
        <xdr:cNvCxnSpPr/>
      </xdr:nvCxnSpPr>
      <xdr:spPr>
        <a:xfrm>
          <a:off x="5705060" y="16166760"/>
          <a:ext cx="1396036"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410351</xdr:colOff>
      <xdr:row>80</xdr:row>
      <xdr:rowOff>10122</xdr:rowOff>
    </xdr:from>
    <xdr:to>
      <xdr:col>13</xdr:col>
      <xdr:colOff>196400</xdr:colOff>
      <xdr:row>83</xdr:row>
      <xdr:rowOff>192572</xdr:rowOff>
    </xdr:to>
    <xdr:sp macro="" textlink="">
      <xdr:nvSpPr>
        <xdr:cNvPr id="53" name="Rectangle 52">
          <a:extLst>
            <a:ext uri="{FF2B5EF4-FFF2-40B4-BE49-F238E27FC236}">
              <a16:creationId xmlns:a16="http://schemas.microsoft.com/office/drawing/2014/main" id="{00000000-0008-0000-0300-000035000000}"/>
            </a:ext>
          </a:extLst>
        </xdr:cNvPr>
        <xdr:cNvSpPr/>
      </xdr:nvSpPr>
      <xdr:spPr>
        <a:xfrm>
          <a:off x="7130403" y="15755932"/>
          <a:ext cx="1007876" cy="7999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Fractional Divide Enable</a:t>
          </a:r>
        </a:p>
        <a:p>
          <a:pPr algn="ctr"/>
          <a:r>
            <a:rPr lang="en-US" sz="900"/>
            <a:t>LFAST_PLLCR[FDIVEN]</a:t>
          </a:r>
        </a:p>
      </xdr:txBody>
    </xdr:sp>
    <xdr:clientData/>
  </xdr:twoCellAnchor>
  <xdr:oneCellAnchor>
    <xdr:from>
      <xdr:col>11</xdr:col>
      <xdr:colOff>571545</xdr:colOff>
      <xdr:row>84</xdr:row>
      <xdr:rowOff>168653</xdr:rowOff>
    </xdr:from>
    <xdr:ext cx="1152526" cy="373673"/>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7291597" y="16742153"/>
          <a:ext cx="1152526" cy="3736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Fractional</a:t>
          </a:r>
          <a:r>
            <a:rPr lang="en-US" sz="800" baseline="0"/>
            <a:t> Disabled</a:t>
          </a:r>
          <a:endParaRPr lang="en-US" sz="800"/>
        </a:p>
        <a:p>
          <a:r>
            <a:rPr lang="en-US" sz="800"/>
            <a:t>1 - Fractional</a:t>
          </a:r>
          <a:r>
            <a:rPr lang="en-US" sz="800" baseline="0"/>
            <a:t> Enabled</a:t>
          </a:r>
          <a:endParaRPr lang="en-US" sz="800"/>
        </a:p>
      </xdr:txBody>
    </xdr:sp>
    <xdr:clientData/>
  </xdr:oneCellAnchor>
  <xdr:twoCellAnchor>
    <xdr:from>
      <xdr:col>13</xdr:col>
      <xdr:colOff>210887</xdr:colOff>
      <xdr:row>81</xdr:row>
      <xdr:rowOff>177139</xdr:rowOff>
    </xdr:from>
    <xdr:to>
      <xdr:col>14</xdr:col>
      <xdr:colOff>382251</xdr:colOff>
      <xdr:row>81</xdr:row>
      <xdr:rowOff>177139</xdr:rowOff>
    </xdr:to>
    <xdr:cxnSp macro="">
      <xdr:nvCxnSpPr>
        <xdr:cNvPr id="55" name="Straight Arrow Connector 54">
          <a:extLst>
            <a:ext uri="{FF2B5EF4-FFF2-40B4-BE49-F238E27FC236}">
              <a16:creationId xmlns:a16="http://schemas.microsoft.com/office/drawing/2014/main" id="{00000000-0008-0000-0300-000037000000}"/>
            </a:ext>
          </a:extLst>
        </xdr:cNvPr>
        <xdr:cNvCxnSpPr/>
      </xdr:nvCxnSpPr>
      <xdr:spPr>
        <a:xfrm>
          <a:off x="8152766" y="15982070"/>
          <a:ext cx="782278"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396906</xdr:colOff>
      <xdr:row>80</xdr:row>
      <xdr:rowOff>10121</xdr:rowOff>
    </xdr:from>
    <xdr:to>
      <xdr:col>16</xdr:col>
      <xdr:colOff>182954</xdr:colOff>
      <xdr:row>83</xdr:row>
      <xdr:rowOff>192571</xdr:rowOff>
    </xdr:to>
    <xdr:sp macro="" textlink="">
      <xdr:nvSpPr>
        <xdr:cNvPr id="56" name="Rectangle 55">
          <a:extLst>
            <a:ext uri="{FF2B5EF4-FFF2-40B4-BE49-F238E27FC236}">
              <a16:creationId xmlns:a16="http://schemas.microsoft.com/office/drawing/2014/main" id="{00000000-0008-0000-0300-000038000000}"/>
            </a:ext>
          </a:extLst>
        </xdr:cNvPr>
        <xdr:cNvSpPr/>
      </xdr:nvSpPr>
      <xdr:spPr>
        <a:xfrm>
          <a:off x="8949699" y="15755931"/>
          <a:ext cx="1007876" cy="7999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Multiplier</a:t>
          </a:r>
        </a:p>
        <a:p>
          <a:pPr algn="ctr"/>
          <a:r>
            <a:rPr lang="en-US" sz="1100"/>
            <a:t>*1,12...32</a:t>
          </a:r>
        </a:p>
        <a:p>
          <a:pPr algn="ctr"/>
          <a:r>
            <a:rPr lang="en-US" sz="900"/>
            <a:t>LFAST_PLLCR[FBDIV]</a:t>
          </a:r>
        </a:p>
      </xdr:txBody>
    </xdr:sp>
    <xdr:clientData/>
  </xdr:twoCellAnchor>
  <xdr:twoCellAnchor>
    <xdr:from>
      <xdr:col>16</xdr:col>
      <xdr:colOff>190112</xdr:colOff>
      <xdr:row>82</xdr:row>
      <xdr:rowOff>30600</xdr:rowOff>
    </xdr:from>
    <xdr:to>
      <xdr:col>18</xdr:col>
      <xdr:colOff>534865</xdr:colOff>
      <xdr:row>82</xdr:row>
      <xdr:rowOff>30600</xdr:rowOff>
    </xdr:to>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9920266" y="16281715"/>
          <a:ext cx="1561022"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543443</xdr:colOff>
      <xdr:row>84</xdr:row>
      <xdr:rowOff>179443</xdr:rowOff>
    </xdr:from>
    <xdr:ext cx="1839057" cy="1003788"/>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9096236" y="16752943"/>
          <a:ext cx="1839057" cy="10037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 clock output</a:t>
          </a:r>
        </a:p>
        <a:p>
          <a:r>
            <a:rPr lang="en-US" sz="800"/>
            <a:t>1</a:t>
          </a:r>
          <a:r>
            <a:rPr lang="en-US" sz="800" baseline="0"/>
            <a:t>-10 - Reserved</a:t>
          </a:r>
        </a:p>
        <a:p>
          <a:r>
            <a:rPr lang="en-US" sz="800" baseline="0"/>
            <a:t>11 - Divide by 12 (11.5 if FDIVEN = 1)</a:t>
          </a:r>
        </a:p>
        <a:p>
          <a:r>
            <a:rPr lang="en-US" sz="800" baseline="0"/>
            <a:t>...</a:t>
          </a:r>
        </a:p>
        <a:p>
          <a:r>
            <a:rPr lang="en-US" sz="800" baseline="0"/>
            <a:t>31 - Divide by 32 (31.5 if FDIVEN = 1)</a:t>
          </a:r>
        </a:p>
        <a:p>
          <a:r>
            <a:rPr lang="en-US" sz="800" baseline="0"/>
            <a:t>32-63 - Reserved</a:t>
          </a:r>
          <a:endParaRPr lang="en-US" sz="800"/>
        </a:p>
      </xdr:txBody>
    </xdr:sp>
    <xdr:clientData/>
  </xdr:oneCellAnchor>
  <xdr:oneCellAnchor>
    <xdr:from>
      <xdr:col>6</xdr:col>
      <xdr:colOff>418109</xdr:colOff>
      <xdr:row>60</xdr:row>
      <xdr:rowOff>199436</xdr:rowOff>
    </xdr:from>
    <xdr:ext cx="1057275" cy="289034"/>
    <xdr:sp macro="" textlink="">
      <xdr:nvSpPr>
        <xdr:cNvPr id="59" name="TextBox 58">
          <a:hlinkClick xmlns:r="http://schemas.openxmlformats.org/officeDocument/2006/relationships" r:id="rId2"/>
          <a:extLst>
            <a:ext uri="{FF2B5EF4-FFF2-40B4-BE49-F238E27FC236}">
              <a16:creationId xmlns:a16="http://schemas.microsoft.com/office/drawing/2014/main" id="{00000000-0008-0000-0300-00003B000000}"/>
            </a:ext>
          </a:extLst>
        </xdr:cNvPr>
        <xdr:cNvSpPr txBox="1"/>
      </xdr:nvSpPr>
      <xdr:spPr>
        <a:xfrm>
          <a:off x="4095587" y="12101545"/>
          <a:ext cx="1057275" cy="289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PBRIDGE_x_CLK</a:t>
          </a:r>
        </a:p>
      </xdr:txBody>
    </xdr:sp>
    <xdr:clientData/>
  </xdr:oneCellAnchor>
  <xdr:oneCellAnchor>
    <xdr:from>
      <xdr:col>33</xdr:col>
      <xdr:colOff>575509</xdr:colOff>
      <xdr:row>15</xdr:row>
      <xdr:rowOff>151797</xdr:rowOff>
    </xdr:from>
    <xdr:ext cx="1094292" cy="257176"/>
    <xdr:sp macro="" textlink="">
      <xdr:nvSpPr>
        <xdr:cNvPr id="60" name="TextBox 59">
          <a:hlinkClick xmlns:r="http://schemas.openxmlformats.org/officeDocument/2006/relationships" r:id="rId3"/>
          <a:extLst>
            <a:ext uri="{FF2B5EF4-FFF2-40B4-BE49-F238E27FC236}">
              <a16:creationId xmlns:a16="http://schemas.microsoft.com/office/drawing/2014/main" id="{00000000-0008-0000-0300-00003C000000}"/>
            </a:ext>
          </a:extLst>
        </xdr:cNvPr>
        <xdr:cNvSpPr txBox="1"/>
      </xdr:nvSpPr>
      <xdr:spPr>
        <a:xfrm>
          <a:off x="20692309" y="3009297"/>
          <a:ext cx="109429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RF_REF</a:t>
          </a:r>
        </a:p>
      </xdr:txBody>
    </xdr:sp>
    <xdr:clientData/>
  </xdr:oneCellAnchor>
  <xdr:twoCellAnchor>
    <xdr:from>
      <xdr:col>30</xdr:col>
      <xdr:colOff>377806</xdr:colOff>
      <xdr:row>14</xdr:row>
      <xdr:rowOff>130549</xdr:rowOff>
    </xdr:from>
    <xdr:to>
      <xdr:col>32</xdr:col>
      <xdr:colOff>171962</xdr:colOff>
      <xdr:row>18</xdr:row>
      <xdr:rowOff>167163</xdr:rowOff>
    </xdr:to>
    <xdr:sp macro="" textlink="">
      <xdr:nvSpPr>
        <xdr:cNvPr id="61" name="Rectangle 60">
          <a:extLst>
            <a:ext uri="{FF2B5EF4-FFF2-40B4-BE49-F238E27FC236}">
              <a16:creationId xmlns:a16="http://schemas.microsoft.com/office/drawing/2014/main" id="{00000000-0008-0000-0300-00003D000000}"/>
            </a:ext>
          </a:extLst>
        </xdr:cNvPr>
        <xdr:cNvSpPr/>
      </xdr:nvSpPr>
      <xdr:spPr>
        <a:xfrm>
          <a:off x="18665806" y="2797549"/>
          <a:ext cx="1013356" cy="8462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Clock Calculator LFAST Input Filter</a:t>
          </a:r>
        </a:p>
      </xdr:txBody>
    </xdr:sp>
    <xdr:clientData/>
  </xdr:twoCellAnchor>
  <xdr:twoCellAnchor>
    <xdr:from>
      <xdr:col>32</xdr:col>
      <xdr:colOff>190200</xdr:colOff>
      <xdr:row>16</xdr:row>
      <xdr:rowOff>113912</xdr:rowOff>
    </xdr:from>
    <xdr:to>
      <xdr:col>32</xdr:col>
      <xdr:colOff>582836</xdr:colOff>
      <xdr:row>16</xdr:row>
      <xdr:rowOff>113912</xdr:rowOff>
    </xdr:to>
    <xdr:cxnSp macro="">
      <xdr:nvCxnSpPr>
        <xdr:cNvPr id="62" name="Straight Arrow Connector 61">
          <a:extLst>
            <a:ext uri="{FF2B5EF4-FFF2-40B4-BE49-F238E27FC236}">
              <a16:creationId xmlns:a16="http://schemas.microsoft.com/office/drawing/2014/main" id="{00000000-0008-0000-0300-00003E000000}"/>
            </a:ext>
          </a:extLst>
        </xdr:cNvPr>
        <xdr:cNvCxnSpPr/>
      </xdr:nvCxnSpPr>
      <xdr:spPr>
        <a:xfrm flipH="1">
          <a:off x="19697400" y="3171437"/>
          <a:ext cx="392636"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464657</xdr:colOff>
      <xdr:row>17</xdr:row>
      <xdr:rowOff>48400</xdr:rowOff>
    </xdr:from>
    <xdr:to>
      <xdr:col>30</xdr:col>
      <xdr:colOff>363286</xdr:colOff>
      <xdr:row>17</xdr:row>
      <xdr:rowOff>48400</xdr:rowOff>
    </xdr:to>
    <xdr:cxnSp macro="">
      <xdr:nvCxnSpPr>
        <xdr:cNvPr id="63" name="Straight Arrow Connector 62">
          <a:extLst>
            <a:ext uri="{FF2B5EF4-FFF2-40B4-BE49-F238E27FC236}">
              <a16:creationId xmlns:a16="http://schemas.microsoft.com/office/drawing/2014/main" id="{00000000-0008-0000-0300-00003F000000}"/>
            </a:ext>
          </a:extLst>
        </xdr:cNvPr>
        <xdr:cNvCxnSpPr/>
      </xdr:nvCxnSpPr>
      <xdr:spPr>
        <a:xfrm flipH="1">
          <a:off x="16923857" y="3315475"/>
          <a:ext cx="172742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397897</xdr:colOff>
      <xdr:row>14</xdr:row>
      <xdr:rowOff>137876</xdr:rowOff>
    </xdr:from>
    <xdr:ext cx="1094292" cy="257176"/>
    <xdr:sp macro="" textlink="">
      <xdr:nvSpPr>
        <xdr:cNvPr id="64" name="TextBox 63">
          <a:extLst>
            <a:ext uri="{FF2B5EF4-FFF2-40B4-BE49-F238E27FC236}">
              <a16:creationId xmlns:a16="http://schemas.microsoft.com/office/drawing/2014/main" id="{00000000-0008-0000-0300-000040000000}"/>
            </a:ext>
          </a:extLst>
        </xdr:cNvPr>
        <xdr:cNvSpPr txBox="1"/>
      </xdr:nvSpPr>
      <xdr:spPr>
        <a:xfrm>
          <a:off x="17466697" y="2804876"/>
          <a:ext cx="109429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lfast_sys_clk</a:t>
          </a:r>
        </a:p>
      </xdr:txBody>
    </xdr:sp>
    <xdr:clientData/>
  </xdr:oneCellAnchor>
  <xdr:twoCellAnchor>
    <xdr:from>
      <xdr:col>27</xdr:col>
      <xdr:colOff>457330</xdr:colOff>
      <xdr:row>13</xdr:row>
      <xdr:rowOff>13886</xdr:rowOff>
    </xdr:from>
    <xdr:to>
      <xdr:col>27</xdr:col>
      <xdr:colOff>457330</xdr:colOff>
      <xdr:row>29</xdr:row>
      <xdr:rowOff>45982</xdr:rowOff>
    </xdr:to>
    <xdr:cxnSp macro="">
      <xdr:nvCxnSpPr>
        <xdr:cNvPr id="65" name="Straight Arrow Connector 64">
          <a:extLst>
            <a:ext uri="{FF2B5EF4-FFF2-40B4-BE49-F238E27FC236}">
              <a16:creationId xmlns:a16="http://schemas.microsoft.com/office/drawing/2014/main" id="{00000000-0008-0000-0300-000041000000}"/>
            </a:ext>
          </a:extLst>
        </xdr:cNvPr>
        <xdr:cNvCxnSpPr/>
      </xdr:nvCxnSpPr>
      <xdr:spPr>
        <a:xfrm>
          <a:off x="16952002" y="2516662"/>
          <a:ext cx="0" cy="3303441"/>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260029</xdr:colOff>
      <xdr:row>29</xdr:row>
      <xdr:rowOff>48549</xdr:rowOff>
    </xdr:from>
    <xdr:to>
      <xdr:col>27</xdr:col>
      <xdr:colOff>445610</xdr:colOff>
      <xdr:row>29</xdr:row>
      <xdr:rowOff>48549</xdr:rowOff>
    </xdr:to>
    <xdr:cxnSp macro="">
      <xdr:nvCxnSpPr>
        <xdr:cNvPr id="66" name="Straight Arrow Connector 65">
          <a:extLst>
            <a:ext uri="{FF2B5EF4-FFF2-40B4-BE49-F238E27FC236}">
              <a16:creationId xmlns:a16="http://schemas.microsoft.com/office/drawing/2014/main" id="{00000000-0008-0000-0300-000042000000}"/>
            </a:ext>
          </a:extLst>
        </xdr:cNvPr>
        <xdr:cNvCxnSpPr/>
      </xdr:nvCxnSpPr>
      <xdr:spPr>
        <a:xfrm flipH="1">
          <a:off x="15532874" y="5822670"/>
          <a:ext cx="1407408"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249935</xdr:colOff>
      <xdr:row>19</xdr:row>
      <xdr:rowOff>153797</xdr:rowOff>
    </xdr:from>
    <xdr:to>
      <xdr:col>21</xdr:col>
      <xdr:colOff>277774</xdr:colOff>
      <xdr:row>36</xdr:row>
      <xdr:rowOff>26276</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00000000-0008-0000-0300-000043000000}"/>
            </a:ext>
          </a:extLst>
        </xdr:cNvPr>
        <xdr:cNvSpPr/>
      </xdr:nvSpPr>
      <xdr:spPr>
        <a:xfrm>
          <a:off x="11857297" y="3838987"/>
          <a:ext cx="1249667" cy="34197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LFAST PLL</a:t>
          </a:r>
        </a:p>
        <a:p>
          <a:pPr algn="ctr"/>
          <a:r>
            <a:rPr lang="en-US" sz="900"/>
            <a:t>Click</a:t>
          </a:r>
          <a:r>
            <a:rPr lang="en-US" sz="900" baseline="0"/>
            <a:t> me for more info</a:t>
          </a:r>
          <a:endParaRPr lang="en-US" sz="900"/>
        </a:p>
      </xdr:txBody>
    </xdr:sp>
    <xdr:clientData/>
  </xdr:twoCellAnchor>
  <xdr:oneCellAnchor>
    <xdr:from>
      <xdr:col>7</xdr:col>
      <xdr:colOff>340360</xdr:colOff>
      <xdr:row>73</xdr:row>
      <xdr:rowOff>158176</xdr:rowOff>
    </xdr:from>
    <xdr:ext cx="4840942" cy="679174"/>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4616757" y="14439107"/>
          <a:ext cx="4840942" cy="67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400" b="1"/>
            <a:t>MPC574xP LFAST</a:t>
          </a:r>
          <a:r>
            <a:rPr lang="en-US" sz="2400" b="1" baseline="0"/>
            <a:t> PLL</a:t>
          </a:r>
          <a:endParaRPr lang="en-US" sz="2400" b="1"/>
        </a:p>
      </xdr:txBody>
    </xdr:sp>
    <xdr:clientData/>
  </xdr:oneCellAnchor>
  <xdr:oneCellAnchor>
    <xdr:from>
      <xdr:col>26</xdr:col>
      <xdr:colOff>582702</xdr:colOff>
      <xdr:row>81</xdr:row>
      <xdr:rowOff>184467</xdr:rowOff>
    </xdr:from>
    <xdr:ext cx="1094292" cy="257176"/>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16394202" y="16223102"/>
          <a:ext cx="109429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LFAST_PLL_CLKs</a:t>
          </a:r>
        </a:p>
      </xdr:txBody>
    </xdr:sp>
    <xdr:clientData/>
  </xdr:oneCellAnchor>
  <xdr:twoCellAnchor>
    <xdr:from>
      <xdr:col>21</xdr:col>
      <xdr:colOff>299586</xdr:colOff>
      <xdr:row>13</xdr:row>
      <xdr:rowOff>29218</xdr:rowOff>
    </xdr:from>
    <xdr:to>
      <xdr:col>27</xdr:col>
      <xdr:colOff>466397</xdr:colOff>
      <xdr:row>13</xdr:row>
      <xdr:rowOff>29218</xdr:rowOff>
    </xdr:to>
    <xdr:cxnSp macro="">
      <xdr:nvCxnSpPr>
        <xdr:cNvPr id="70" name="Straight Arrow Connector 69">
          <a:extLst>
            <a:ext uri="{FF2B5EF4-FFF2-40B4-BE49-F238E27FC236}">
              <a16:creationId xmlns:a16="http://schemas.microsoft.com/office/drawing/2014/main" id="{00000000-0008-0000-0300-000046000000}"/>
            </a:ext>
          </a:extLst>
        </xdr:cNvPr>
        <xdr:cNvCxnSpPr/>
      </xdr:nvCxnSpPr>
      <xdr:spPr>
        <a:xfrm flipH="1">
          <a:off x="13128776" y="2531994"/>
          <a:ext cx="3832293"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323204</xdr:colOff>
      <xdr:row>10</xdr:row>
      <xdr:rowOff>162659</xdr:rowOff>
    </xdr:from>
    <xdr:to>
      <xdr:col>21</xdr:col>
      <xdr:colOff>248297</xdr:colOff>
      <xdr:row>15</xdr:row>
      <xdr:rowOff>169966</xdr:rowOff>
    </xdr:to>
    <xdr:sp macro="" textlink="">
      <xdr:nvSpPr>
        <xdr:cNvPr id="71" name="Rectangle 70">
          <a:extLst>
            <a:ext uri="{FF2B5EF4-FFF2-40B4-BE49-F238E27FC236}">
              <a16:creationId xmlns:a16="http://schemas.microsoft.com/office/drawing/2014/main" id="{00000000-0008-0000-0300-000047000000}"/>
            </a:ext>
          </a:extLst>
        </xdr:cNvPr>
        <xdr:cNvSpPr/>
      </xdr:nvSpPr>
      <xdr:spPr>
        <a:xfrm>
          <a:off x="11905604" y="2067659"/>
          <a:ext cx="1144293" cy="9598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Divide by 2</a:t>
          </a:r>
        </a:p>
        <a:p>
          <a:pPr algn="ctr"/>
          <a:r>
            <a:rPr lang="en-US" sz="1100"/>
            <a:t>20/26</a:t>
          </a:r>
          <a:r>
            <a:rPr lang="en-US" sz="1100" baseline="0"/>
            <a:t> MHz only</a:t>
          </a:r>
        </a:p>
        <a:p>
          <a:pPr algn="ctr"/>
          <a:r>
            <a:rPr lang="en-US" sz="900" baseline="0"/>
            <a:t>LFAST_MCR[LSSEL]</a:t>
          </a:r>
          <a:endParaRPr lang="en-US" sz="900"/>
        </a:p>
      </xdr:txBody>
    </xdr:sp>
    <xdr:clientData/>
  </xdr:twoCellAnchor>
  <xdr:oneCellAnchor>
    <xdr:from>
      <xdr:col>19</xdr:col>
      <xdr:colOff>554734</xdr:colOff>
      <xdr:row>17</xdr:row>
      <xdr:rowOff>17929</xdr:rowOff>
    </xdr:from>
    <xdr:ext cx="1421424" cy="342900"/>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12137134" y="3285004"/>
          <a:ext cx="142142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Direct</a:t>
          </a:r>
          <a:r>
            <a:rPr lang="en-US" sz="800" baseline="0"/>
            <a:t> lfast_sys_clk</a:t>
          </a:r>
          <a:endParaRPr lang="en-US" sz="800"/>
        </a:p>
        <a:p>
          <a:r>
            <a:rPr lang="en-US" sz="800"/>
            <a:t>1 - Divide</a:t>
          </a:r>
          <a:r>
            <a:rPr lang="en-US" sz="800" baseline="0"/>
            <a:t> by 2 first</a:t>
          </a:r>
          <a:endParaRPr lang="en-US" sz="800"/>
        </a:p>
      </xdr:txBody>
    </xdr:sp>
    <xdr:clientData/>
  </xdr:oneCellAnchor>
  <xdr:twoCellAnchor>
    <xdr:from>
      <xdr:col>16</xdr:col>
      <xdr:colOff>601886</xdr:colOff>
      <xdr:row>13</xdr:row>
      <xdr:rowOff>14568</xdr:rowOff>
    </xdr:from>
    <xdr:to>
      <xdr:col>16</xdr:col>
      <xdr:colOff>601886</xdr:colOff>
      <xdr:row>15</xdr:row>
      <xdr:rowOff>131534</xdr:rowOff>
    </xdr:to>
    <xdr:cxnSp macro="">
      <xdr:nvCxnSpPr>
        <xdr:cNvPr id="73" name="Straight Arrow Connector 72">
          <a:extLst>
            <a:ext uri="{FF2B5EF4-FFF2-40B4-BE49-F238E27FC236}">
              <a16:creationId xmlns:a16="http://schemas.microsoft.com/office/drawing/2014/main" id="{00000000-0008-0000-0300-000049000000}"/>
            </a:ext>
          </a:extLst>
        </xdr:cNvPr>
        <xdr:cNvCxnSpPr/>
      </xdr:nvCxnSpPr>
      <xdr:spPr>
        <a:xfrm>
          <a:off x="10355486" y="2491068"/>
          <a:ext cx="0" cy="497966"/>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592361</xdr:colOff>
      <xdr:row>13</xdr:row>
      <xdr:rowOff>24093</xdr:rowOff>
    </xdr:from>
    <xdr:to>
      <xdr:col>19</xdr:col>
      <xdr:colOff>310015</xdr:colOff>
      <xdr:row>13</xdr:row>
      <xdr:rowOff>24093</xdr:rowOff>
    </xdr:to>
    <xdr:cxnSp macro="">
      <xdr:nvCxnSpPr>
        <xdr:cNvPr id="74" name="Straight Arrow Connector 73">
          <a:extLst>
            <a:ext uri="{FF2B5EF4-FFF2-40B4-BE49-F238E27FC236}">
              <a16:creationId xmlns:a16="http://schemas.microsoft.com/office/drawing/2014/main" id="{00000000-0008-0000-0300-00004A000000}"/>
            </a:ext>
          </a:extLst>
        </xdr:cNvPr>
        <xdr:cNvCxnSpPr/>
      </xdr:nvCxnSpPr>
      <xdr:spPr>
        <a:xfrm flipH="1">
          <a:off x="10345961" y="2500593"/>
          <a:ext cx="154645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517688</xdr:colOff>
      <xdr:row>10</xdr:row>
      <xdr:rowOff>112001</xdr:rowOff>
    </xdr:from>
    <xdr:ext cx="1914525" cy="257176"/>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9681395" y="2017001"/>
          <a:ext cx="1914525"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LFAST Slow Speed Phase</a:t>
          </a:r>
          <a:r>
            <a:rPr lang="en-US" sz="1000" b="1" baseline="0"/>
            <a:t> Input</a:t>
          </a:r>
          <a:endParaRPr lang="en-US" sz="1000" b="1"/>
        </a:p>
      </xdr:txBody>
    </xdr:sp>
    <xdr:clientData/>
  </xdr:oneCellAnchor>
  <xdr:oneCellAnchor>
    <xdr:from>
      <xdr:col>13</xdr:col>
      <xdr:colOff>579533</xdr:colOff>
      <xdr:row>15</xdr:row>
      <xdr:rowOff>194268</xdr:rowOff>
    </xdr:from>
    <xdr:ext cx="1550933" cy="257176"/>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8504333" y="3089868"/>
          <a:ext cx="1550933"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LFAST Slow Speed Phase</a:t>
          </a:r>
          <a:r>
            <a:rPr lang="en-US" sz="1000" b="1" baseline="0"/>
            <a:t>s</a:t>
          </a:r>
          <a:endParaRPr lang="en-US" sz="1000" b="1"/>
        </a:p>
      </xdr:txBody>
    </xdr:sp>
    <xdr:clientData/>
  </xdr:oneCellAnchor>
  <xdr:twoCellAnchor>
    <xdr:from>
      <xdr:col>23</xdr:col>
      <xdr:colOff>307752</xdr:colOff>
      <xdr:row>26</xdr:row>
      <xdr:rowOff>87192</xdr:rowOff>
    </xdr:from>
    <xdr:to>
      <xdr:col>25</xdr:col>
      <xdr:colOff>265688</xdr:colOff>
      <xdr:row>31</xdr:row>
      <xdr:rowOff>185053</xdr:rowOff>
    </xdr:to>
    <xdr:sp macro="" textlink="">
      <xdr:nvSpPr>
        <xdr:cNvPr id="77" name="Rectangle 76">
          <a:extLst>
            <a:ext uri="{FF2B5EF4-FFF2-40B4-BE49-F238E27FC236}">
              <a16:creationId xmlns:a16="http://schemas.microsoft.com/office/drawing/2014/main" id="{00000000-0008-0000-0300-00004D000000}"/>
            </a:ext>
          </a:extLst>
        </xdr:cNvPr>
        <xdr:cNvSpPr/>
      </xdr:nvSpPr>
      <xdr:spPr>
        <a:xfrm>
          <a:off x="14358769" y="5230692"/>
          <a:ext cx="1179764" cy="11488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High speed phase selection</a:t>
          </a:r>
          <a:endParaRPr lang="en-US" sz="1100" baseline="0"/>
        </a:p>
        <a:p>
          <a:pPr algn="ctr"/>
          <a:r>
            <a:rPr lang="en-US" sz="900" baseline="0"/>
            <a:t>LFAST_COCR[PHSSEL]</a:t>
          </a:r>
          <a:endParaRPr lang="en-US" sz="900"/>
        </a:p>
      </xdr:txBody>
    </xdr:sp>
    <xdr:clientData/>
  </xdr:twoCellAnchor>
  <xdr:oneCellAnchor>
    <xdr:from>
      <xdr:col>23</xdr:col>
      <xdr:colOff>567554</xdr:colOff>
      <xdr:row>33</xdr:row>
      <xdr:rowOff>24999</xdr:rowOff>
    </xdr:from>
    <xdr:ext cx="1421424" cy="342900"/>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14618571" y="6639947"/>
          <a:ext cx="142142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0 - 8</a:t>
          </a:r>
          <a:r>
            <a:rPr lang="en-US" sz="800" baseline="0"/>
            <a:t> LFAST PLL phases</a:t>
          </a:r>
          <a:endParaRPr lang="en-US" sz="800"/>
        </a:p>
        <a:p>
          <a:r>
            <a:rPr lang="en-US" sz="800"/>
            <a:t>1 - 4</a:t>
          </a:r>
          <a:r>
            <a:rPr lang="en-US" sz="800" baseline="0"/>
            <a:t> LFAST PLL phases</a:t>
          </a:r>
          <a:endParaRPr lang="en-US" sz="800"/>
        </a:p>
      </xdr:txBody>
    </xdr:sp>
    <xdr:clientData/>
  </xdr:oneCellAnchor>
  <xdr:twoCellAnchor>
    <xdr:from>
      <xdr:col>21</xdr:col>
      <xdr:colOff>301280</xdr:colOff>
      <xdr:row>29</xdr:row>
      <xdr:rowOff>19435</xdr:rowOff>
    </xdr:from>
    <xdr:to>
      <xdr:col>23</xdr:col>
      <xdr:colOff>279177</xdr:colOff>
      <xdr:row>29</xdr:row>
      <xdr:rowOff>19435</xdr:rowOff>
    </xdr:to>
    <xdr:cxnSp macro="">
      <xdr:nvCxnSpPr>
        <xdr:cNvPr id="79" name="Straight Arrow Connector 78">
          <a:extLst>
            <a:ext uri="{FF2B5EF4-FFF2-40B4-BE49-F238E27FC236}">
              <a16:creationId xmlns:a16="http://schemas.microsoft.com/office/drawing/2014/main" id="{00000000-0008-0000-0300-00004F000000}"/>
            </a:ext>
          </a:extLst>
        </xdr:cNvPr>
        <xdr:cNvCxnSpPr/>
      </xdr:nvCxnSpPr>
      <xdr:spPr>
        <a:xfrm flipH="1">
          <a:off x="13130470" y="5793556"/>
          <a:ext cx="1199724"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243994</xdr:colOff>
      <xdr:row>21</xdr:row>
      <xdr:rowOff>19145</xdr:rowOff>
    </xdr:from>
    <xdr:to>
      <xdr:col>19</xdr:col>
      <xdr:colOff>221890</xdr:colOff>
      <xdr:row>21</xdr:row>
      <xdr:rowOff>19145</xdr:rowOff>
    </xdr:to>
    <xdr:cxnSp macro="">
      <xdr:nvCxnSpPr>
        <xdr:cNvPr id="80" name="Straight Arrow Connector 79">
          <a:extLst>
            <a:ext uri="{FF2B5EF4-FFF2-40B4-BE49-F238E27FC236}">
              <a16:creationId xmlns:a16="http://schemas.microsoft.com/office/drawing/2014/main" id="{00000000-0008-0000-0300-000050000000}"/>
            </a:ext>
          </a:extLst>
        </xdr:cNvPr>
        <xdr:cNvCxnSpPr/>
      </xdr:nvCxnSpPr>
      <xdr:spPr>
        <a:xfrm flipH="1">
          <a:off x="10629528" y="4111611"/>
          <a:ext cx="119972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53494</xdr:colOff>
      <xdr:row>23</xdr:row>
      <xdr:rowOff>32437</xdr:rowOff>
    </xdr:from>
    <xdr:to>
      <xdr:col>19</xdr:col>
      <xdr:colOff>236343</xdr:colOff>
      <xdr:row>23</xdr:row>
      <xdr:rowOff>32437</xdr:rowOff>
    </xdr:to>
    <xdr:cxnSp macro="">
      <xdr:nvCxnSpPr>
        <xdr:cNvPr id="81" name="Straight Arrow Connector 80">
          <a:extLst>
            <a:ext uri="{FF2B5EF4-FFF2-40B4-BE49-F238E27FC236}">
              <a16:creationId xmlns:a16="http://schemas.microsoft.com/office/drawing/2014/main" id="{00000000-0008-0000-0300-000051000000}"/>
            </a:ext>
          </a:extLst>
        </xdr:cNvPr>
        <xdr:cNvCxnSpPr/>
      </xdr:nvCxnSpPr>
      <xdr:spPr>
        <a:xfrm flipH="1">
          <a:off x="10439028" y="4512471"/>
          <a:ext cx="140467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478389</xdr:colOff>
      <xdr:row>25</xdr:row>
      <xdr:rowOff>12885</xdr:rowOff>
    </xdr:from>
    <xdr:to>
      <xdr:col>19</xdr:col>
      <xdr:colOff>231087</xdr:colOff>
      <xdr:row>25</xdr:row>
      <xdr:rowOff>12885</xdr:rowOff>
    </xdr:to>
    <xdr:cxnSp macro="">
      <xdr:nvCxnSpPr>
        <xdr:cNvPr id="82" name="Straight Arrow Connector 81">
          <a:extLst>
            <a:ext uri="{FF2B5EF4-FFF2-40B4-BE49-F238E27FC236}">
              <a16:creationId xmlns:a16="http://schemas.microsoft.com/office/drawing/2014/main" id="{00000000-0008-0000-0300-000052000000}"/>
            </a:ext>
          </a:extLst>
        </xdr:cNvPr>
        <xdr:cNvCxnSpPr/>
      </xdr:nvCxnSpPr>
      <xdr:spPr>
        <a:xfrm flipH="1">
          <a:off x="10253010" y="4913333"/>
          <a:ext cx="1585439"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294458</xdr:colOff>
      <xdr:row>27</xdr:row>
      <xdr:rowOff>13039</xdr:rowOff>
    </xdr:from>
    <xdr:to>
      <xdr:col>19</xdr:col>
      <xdr:colOff>225832</xdr:colOff>
      <xdr:row>27</xdr:row>
      <xdr:rowOff>13039</xdr:rowOff>
    </xdr:to>
    <xdr:cxnSp macro="">
      <xdr:nvCxnSpPr>
        <xdr:cNvPr id="83" name="Straight Arrow Connector 82">
          <a:extLst>
            <a:ext uri="{FF2B5EF4-FFF2-40B4-BE49-F238E27FC236}">
              <a16:creationId xmlns:a16="http://schemas.microsoft.com/office/drawing/2014/main" id="{00000000-0008-0000-0300-000053000000}"/>
            </a:ext>
          </a:extLst>
        </xdr:cNvPr>
        <xdr:cNvCxnSpPr/>
      </xdr:nvCxnSpPr>
      <xdr:spPr>
        <a:xfrm flipH="1">
          <a:off x="10069079" y="5333901"/>
          <a:ext cx="176411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84251</xdr:colOff>
      <xdr:row>29</xdr:row>
      <xdr:rowOff>19763</xdr:rowOff>
    </xdr:from>
    <xdr:to>
      <xdr:col>19</xdr:col>
      <xdr:colOff>227146</xdr:colOff>
      <xdr:row>29</xdr:row>
      <xdr:rowOff>19763</xdr:rowOff>
    </xdr:to>
    <xdr:cxnSp macro="">
      <xdr:nvCxnSpPr>
        <xdr:cNvPr id="84" name="Straight Arrow Connector 83">
          <a:extLst>
            <a:ext uri="{FF2B5EF4-FFF2-40B4-BE49-F238E27FC236}">
              <a16:creationId xmlns:a16="http://schemas.microsoft.com/office/drawing/2014/main" id="{00000000-0008-0000-0300-000054000000}"/>
            </a:ext>
          </a:extLst>
        </xdr:cNvPr>
        <xdr:cNvCxnSpPr/>
      </xdr:nvCxnSpPr>
      <xdr:spPr>
        <a:xfrm flipH="1">
          <a:off x="9858872" y="5721625"/>
          <a:ext cx="1975636"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548562</xdr:colOff>
      <xdr:row>31</xdr:row>
      <xdr:rowOff>19917</xdr:rowOff>
    </xdr:from>
    <xdr:to>
      <xdr:col>19</xdr:col>
      <xdr:colOff>241598</xdr:colOff>
      <xdr:row>31</xdr:row>
      <xdr:rowOff>19917</xdr:rowOff>
    </xdr:to>
    <xdr:cxnSp macro="">
      <xdr:nvCxnSpPr>
        <xdr:cNvPr id="85" name="Straight Arrow Connector 84">
          <a:extLst>
            <a:ext uri="{FF2B5EF4-FFF2-40B4-BE49-F238E27FC236}">
              <a16:creationId xmlns:a16="http://schemas.microsoft.com/office/drawing/2014/main" id="{00000000-0008-0000-0300-000055000000}"/>
            </a:ext>
          </a:extLst>
        </xdr:cNvPr>
        <xdr:cNvCxnSpPr/>
      </xdr:nvCxnSpPr>
      <xdr:spPr>
        <a:xfrm flipH="1">
          <a:off x="9712269" y="6181607"/>
          <a:ext cx="213669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358062</xdr:colOff>
      <xdr:row>33</xdr:row>
      <xdr:rowOff>13502</xdr:rowOff>
    </xdr:from>
    <xdr:to>
      <xdr:col>19</xdr:col>
      <xdr:colOff>229774</xdr:colOff>
      <xdr:row>33</xdr:row>
      <xdr:rowOff>13502</xdr:rowOff>
    </xdr:to>
    <xdr:cxnSp macro="">
      <xdr:nvCxnSpPr>
        <xdr:cNvPr id="86" name="Straight Arrow Connector 85">
          <a:extLst>
            <a:ext uri="{FF2B5EF4-FFF2-40B4-BE49-F238E27FC236}">
              <a16:creationId xmlns:a16="http://schemas.microsoft.com/office/drawing/2014/main" id="{00000000-0008-0000-0300-000056000000}"/>
            </a:ext>
          </a:extLst>
        </xdr:cNvPr>
        <xdr:cNvCxnSpPr/>
      </xdr:nvCxnSpPr>
      <xdr:spPr>
        <a:xfrm flipH="1">
          <a:off x="9521769" y="6556192"/>
          <a:ext cx="2315367"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200407</xdr:colOff>
      <xdr:row>35</xdr:row>
      <xdr:rowOff>20225</xdr:rowOff>
    </xdr:from>
    <xdr:to>
      <xdr:col>19</xdr:col>
      <xdr:colOff>231087</xdr:colOff>
      <xdr:row>35</xdr:row>
      <xdr:rowOff>20225</xdr:rowOff>
    </xdr:to>
    <xdr:cxnSp macro="">
      <xdr:nvCxnSpPr>
        <xdr:cNvPr id="87" name="Straight Arrow Connector 86">
          <a:extLst>
            <a:ext uri="{FF2B5EF4-FFF2-40B4-BE49-F238E27FC236}">
              <a16:creationId xmlns:a16="http://schemas.microsoft.com/office/drawing/2014/main" id="{00000000-0008-0000-0300-000057000000}"/>
            </a:ext>
          </a:extLst>
        </xdr:cNvPr>
        <xdr:cNvCxnSpPr/>
      </xdr:nvCxnSpPr>
      <xdr:spPr>
        <a:xfrm flipH="1">
          <a:off x="9364114" y="6943915"/>
          <a:ext cx="247433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414787</xdr:colOff>
      <xdr:row>18</xdr:row>
      <xdr:rowOff>123477</xdr:rowOff>
    </xdr:from>
    <xdr:ext cx="1094292" cy="257176"/>
    <xdr:sp macro="" textlink="">
      <xdr:nvSpPr>
        <xdr:cNvPr id="88" name="TextBox 87">
          <a:hlinkClick xmlns:r="http://schemas.openxmlformats.org/officeDocument/2006/relationships" r:id="rId5"/>
          <a:extLst>
            <a:ext uri="{FF2B5EF4-FFF2-40B4-BE49-F238E27FC236}">
              <a16:creationId xmlns:a16="http://schemas.microsoft.com/office/drawing/2014/main" id="{00000000-0008-0000-0300-000058000000}"/>
            </a:ext>
          </a:extLst>
        </xdr:cNvPr>
        <xdr:cNvSpPr txBox="1"/>
      </xdr:nvSpPr>
      <xdr:spPr>
        <a:xfrm>
          <a:off x="10800321" y="3618167"/>
          <a:ext cx="1094292"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LFAST_PLL_CLKs</a:t>
          </a:r>
        </a:p>
      </xdr:txBody>
    </xdr:sp>
    <xdr:clientData/>
  </xdr:oneCellAnchor>
  <xdr:twoCellAnchor>
    <xdr:from>
      <xdr:col>17</xdr:col>
      <xdr:colOff>250564</xdr:colOff>
      <xdr:row>19</xdr:row>
      <xdr:rowOff>101203</xdr:rowOff>
    </xdr:from>
    <xdr:to>
      <xdr:col>17</xdr:col>
      <xdr:colOff>250564</xdr:colOff>
      <xdr:row>21</xdr:row>
      <xdr:rowOff>17860</xdr:rowOff>
    </xdr:to>
    <xdr:cxnSp macro="">
      <xdr:nvCxnSpPr>
        <xdr:cNvPr id="89" name="Straight Arrow Connector 88">
          <a:extLst>
            <a:ext uri="{FF2B5EF4-FFF2-40B4-BE49-F238E27FC236}">
              <a16:creationId xmlns:a16="http://schemas.microsoft.com/office/drawing/2014/main" id="{00000000-0008-0000-0300-000059000000}"/>
            </a:ext>
          </a:extLst>
        </xdr:cNvPr>
        <xdr:cNvCxnSpPr/>
      </xdr:nvCxnSpPr>
      <xdr:spPr>
        <a:xfrm>
          <a:off x="10573283" y="3804047"/>
          <a:ext cx="0" cy="327422"/>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53494</xdr:colOff>
      <xdr:row>20</xdr:row>
      <xdr:rowOff>71438</xdr:rowOff>
    </xdr:from>
    <xdr:to>
      <xdr:col>17</xdr:col>
      <xdr:colOff>53494</xdr:colOff>
      <xdr:row>23</xdr:row>
      <xdr:rowOff>26276</xdr:rowOff>
    </xdr:to>
    <xdr:cxnSp macro="">
      <xdr:nvCxnSpPr>
        <xdr:cNvPr id="90" name="Straight Arrow Connector 89">
          <a:extLst>
            <a:ext uri="{FF2B5EF4-FFF2-40B4-BE49-F238E27FC236}">
              <a16:creationId xmlns:a16="http://schemas.microsoft.com/office/drawing/2014/main" id="{00000000-0008-0000-0300-00005A000000}"/>
            </a:ext>
          </a:extLst>
        </xdr:cNvPr>
        <xdr:cNvCxnSpPr/>
      </xdr:nvCxnSpPr>
      <xdr:spPr>
        <a:xfrm>
          <a:off x="10376213" y="3976688"/>
          <a:ext cx="0" cy="579916"/>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484958</xdr:colOff>
      <xdr:row>21</xdr:row>
      <xdr:rowOff>11907</xdr:rowOff>
    </xdr:from>
    <xdr:to>
      <xdr:col>16</xdr:col>
      <xdr:colOff>484958</xdr:colOff>
      <xdr:row>25</xdr:row>
      <xdr:rowOff>26276</xdr:rowOff>
    </xdr:to>
    <xdr:cxnSp macro="">
      <xdr:nvCxnSpPr>
        <xdr:cNvPr id="91" name="Straight Arrow Connector 90">
          <a:extLst>
            <a:ext uri="{FF2B5EF4-FFF2-40B4-BE49-F238E27FC236}">
              <a16:creationId xmlns:a16="http://schemas.microsoft.com/office/drawing/2014/main" id="{00000000-0008-0000-0300-00005B000000}"/>
            </a:ext>
          </a:extLst>
        </xdr:cNvPr>
        <xdr:cNvCxnSpPr/>
      </xdr:nvCxnSpPr>
      <xdr:spPr>
        <a:xfrm>
          <a:off x="10200458" y="4125516"/>
          <a:ext cx="0" cy="84780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307596</xdr:colOff>
      <xdr:row>21</xdr:row>
      <xdr:rowOff>178594</xdr:rowOff>
    </xdr:from>
    <xdr:to>
      <xdr:col>16</xdr:col>
      <xdr:colOff>307596</xdr:colOff>
      <xdr:row>27</xdr:row>
      <xdr:rowOff>19707</xdr:rowOff>
    </xdr:to>
    <xdr:cxnSp macro="">
      <xdr:nvCxnSpPr>
        <xdr:cNvPr id="92" name="Straight Arrow Connector 91">
          <a:extLst>
            <a:ext uri="{FF2B5EF4-FFF2-40B4-BE49-F238E27FC236}">
              <a16:creationId xmlns:a16="http://schemas.microsoft.com/office/drawing/2014/main" id="{00000000-0008-0000-0300-00005C000000}"/>
            </a:ext>
          </a:extLst>
        </xdr:cNvPr>
        <xdr:cNvCxnSpPr/>
      </xdr:nvCxnSpPr>
      <xdr:spPr>
        <a:xfrm>
          <a:off x="10023096" y="4292203"/>
          <a:ext cx="0" cy="109127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96076</xdr:colOff>
      <xdr:row>22</xdr:row>
      <xdr:rowOff>160734</xdr:rowOff>
    </xdr:from>
    <xdr:to>
      <xdr:col>16</xdr:col>
      <xdr:colOff>96076</xdr:colOff>
      <xdr:row>29</xdr:row>
      <xdr:rowOff>39414</xdr:rowOff>
    </xdr:to>
    <xdr:cxnSp macro="">
      <xdr:nvCxnSpPr>
        <xdr:cNvPr id="93" name="Straight Arrow Connector 92">
          <a:extLst>
            <a:ext uri="{FF2B5EF4-FFF2-40B4-BE49-F238E27FC236}">
              <a16:creationId xmlns:a16="http://schemas.microsoft.com/office/drawing/2014/main" id="{00000000-0008-0000-0300-00005D000000}"/>
            </a:ext>
          </a:extLst>
        </xdr:cNvPr>
        <xdr:cNvCxnSpPr/>
      </xdr:nvCxnSpPr>
      <xdr:spPr>
        <a:xfrm>
          <a:off x="9811576" y="4482703"/>
          <a:ext cx="0" cy="1337195"/>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550079</xdr:colOff>
      <xdr:row>23</xdr:row>
      <xdr:rowOff>125016</xdr:rowOff>
    </xdr:from>
    <xdr:to>
      <xdr:col>15</xdr:col>
      <xdr:colOff>550079</xdr:colOff>
      <xdr:row>31</xdr:row>
      <xdr:rowOff>32844</xdr:rowOff>
    </xdr:to>
    <xdr:cxnSp macro="">
      <xdr:nvCxnSpPr>
        <xdr:cNvPr id="94" name="Straight Arrow Connector 93">
          <a:extLst>
            <a:ext uri="{FF2B5EF4-FFF2-40B4-BE49-F238E27FC236}">
              <a16:creationId xmlns:a16="http://schemas.microsoft.com/office/drawing/2014/main" id="{00000000-0008-0000-0300-00005E000000}"/>
            </a:ext>
          </a:extLst>
        </xdr:cNvPr>
        <xdr:cNvCxnSpPr/>
      </xdr:nvCxnSpPr>
      <xdr:spPr>
        <a:xfrm>
          <a:off x="9658360" y="4655344"/>
          <a:ext cx="0" cy="157470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365946</xdr:colOff>
      <xdr:row>24</xdr:row>
      <xdr:rowOff>119062</xdr:rowOff>
    </xdr:from>
    <xdr:to>
      <xdr:col>15</xdr:col>
      <xdr:colOff>365946</xdr:colOff>
      <xdr:row>33</xdr:row>
      <xdr:rowOff>13138</xdr:rowOff>
    </xdr:to>
    <xdr:cxnSp macro="">
      <xdr:nvCxnSpPr>
        <xdr:cNvPr id="95" name="Straight Arrow Connector 94">
          <a:extLst>
            <a:ext uri="{FF2B5EF4-FFF2-40B4-BE49-F238E27FC236}">
              <a16:creationId xmlns:a16="http://schemas.microsoft.com/office/drawing/2014/main" id="{00000000-0008-0000-0300-00005F000000}"/>
            </a:ext>
          </a:extLst>
        </xdr:cNvPr>
        <xdr:cNvCxnSpPr/>
      </xdr:nvCxnSpPr>
      <xdr:spPr>
        <a:xfrm>
          <a:off x="9474227" y="4857750"/>
          <a:ext cx="0" cy="176931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200408</xdr:colOff>
      <xdr:row>25</xdr:row>
      <xdr:rowOff>89297</xdr:rowOff>
    </xdr:from>
    <xdr:to>
      <xdr:col>15</xdr:col>
      <xdr:colOff>200408</xdr:colOff>
      <xdr:row>35</xdr:row>
      <xdr:rowOff>13138</xdr:rowOff>
    </xdr:to>
    <xdr:cxnSp macro="">
      <xdr:nvCxnSpPr>
        <xdr:cNvPr id="96" name="Straight Arrow Connector 95">
          <a:extLst>
            <a:ext uri="{FF2B5EF4-FFF2-40B4-BE49-F238E27FC236}">
              <a16:creationId xmlns:a16="http://schemas.microsoft.com/office/drawing/2014/main" id="{00000000-0008-0000-0300-000060000000}"/>
            </a:ext>
          </a:extLst>
        </xdr:cNvPr>
        <xdr:cNvCxnSpPr/>
      </xdr:nvCxnSpPr>
      <xdr:spPr>
        <a:xfrm>
          <a:off x="9308689" y="5036344"/>
          <a:ext cx="0" cy="2007435"/>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466855</xdr:colOff>
      <xdr:row>15</xdr:row>
      <xdr:rowOff>121024</xdr:rowOff>
    </xdr:from>
    <xdr:to>
      <xdr:col>16</xdr:col>
      <xdr:colOff>586502</xdr:colOff>
      <xdr:row>15</xdr:row>
      <xdr:rowOff>121024</xdr:rowOff>
    </xdr:to>
    <xdr:cxnSp macro="">
      <xdr:nvCxnSpPr>
        <xdr:cNvPr id="97" name="Straight Arrow Connector 96">
          <a:extLst>
            <a:ext uri="{FF2B5EF4-FFF2-40B4-BE49-F238E27FC236}">
              <a16:creationId xmlns:a16="http://schemas.microsoft.com/office/drawing/2014/main" id="{00000000-0008-0000-0300-000061000000}"/>
            </a:ext>
          </a:extLst>
        </xdr:cNvPr>
        <xdr:cNvCxnSpPr/>
      </xdr:nvCxnSpPr>
      <xdr:spPr>
        <a:xfrm flipH="1">
          <a:off x="6562855" y="3016624"/>
          <a:ext cx="377724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521269</xdr:colOff>
      <xdr:row>16</xdr:row>
      <xdr:rowOff>138542</xdr:rowOff>
    </xdr:from>
    <xdr:to>
      <xdr:col>12</xdr:col>
      <xdr:colOff>593149</xdr:colOff>
      <xdr:row>18</xdr:row>
      <xdr:rowOff>125969</xdr:rowOff>
    </xdr:to>
    <xdr:grpSp>
      <xdr:nvGrpSpPr>
        <xdr:cNvPr id="98" name="Group 97">
          <a:extLst>
            <a:ext uri="{FF2B5EF4-FFF2-40B4-BE49-F238E27FC236}">
              <a16:creationId xmlns:a16="http://schemas.microsoft.com/office/drawing/2014/main" id="{00000000-0008-0000-0300-000062000000}"/>
            </a:ext>
          </a:extLst>
        </xdr:cNvPr>
        <xdr:cNvGrpSpPr/>
      </xdr:nvGrpSpPr>
      <xdr:grpSpPr>
        <a:xfrm>
          <a:off x="5362210" y="3242571"/>
          <a:ext cx="2492351" cy="402045"/>
          <a:chOff x="5416263" y="3061511"/>
          <a:chExt cx="2531945" cy="350171"/>
        </a:xfrm>
      </xdr:grpSpPr>
      <xdr:cxnSp macro="">
        <xdr:nvCxnSpPr>
          <xdr:cNvPr id="99" name="Straight Connector 98">
            <a:extLst>
              <a:ext uri="{FF2B5EF4-FFF2-40B4-BE49-F238E27FC236}">
                <a16:creationId xmlns:a16="http://schemas.microsoft.com/office/drawing/2014/main" id="{00000000-0008-0000-0300-000063000000}"/>
              </a:ext>
            </a:extLst>
          </xdr:cNvPr>
          <xdr:cNvCxnSpPr/>
        </xdr:nvCxnSpPr>
        <xdr:spPr>
          <a:xfrm flipH="1">
            <a:off x="6165274" y="3061511"/>
            <a:ext cx="1782934" cy="159671"/>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xdr:nvCxnSpPr>
        <xdr:spPr>
          <a:xfrm flipH="1">
            <a:off x="5909830" y="3061511"/>
            <a:ext cx="2034017" cy="211623"/>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xdr:nvCxnSpPr>
        <xdr:spPr>
          <a:xfrm flipH="1">
            <a:off x="5676035" y="3065355"/>
            <a:ext cx="2259090" cy="272726"/>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xdr:nvCxnSpPr>
        <xdr:spPr>
          <a:xfrm flipH="1">
            <a:off x="5416263" y="3061511"/>
            <a:ext cx="2523224" cy="350171"/>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10</xdr:col>
      <xdr:colOff>371277</xdr:colOff>
      <xdr:row>19</xdr:row>
      <xdr:rowOff>95762</xdr:rowOff>
    </xdr:from>
    <xdr:to>
      <xdr:col>17</xdr:col>
      <xdr:colOff>257132</xdr:colOff>
      <xdr:row>25</xdr:row>
      <xdr:rowOff>98080</xdr:rowOff>
    </xdr:to>
    <xdr:grpSp>
      <xdr:nvGrpSpPr>
        <xdr:cNvPr id="103" name="Group 102">
          <a:extLst>
            <a:ext uri="{FF2B5EF4-FFF2-40B4-BE49-F238E27FC236}">
              <a16:creationId xmlns:a16="http://schemas.microsoft.com/office/drawing/2014/main" id="{00000000-0008-0000-0300-000067000000}"/>
            </a:ext>
          </a:extLst>
        </xdr:cNvPr>
        <xdr:cNvGrpSpPr/>
      </xdr:nvGrpSpPr>
      <xdr:grpSpPr>
        <a:xfrm>
          <a:off x="6422453" y="3804909"/>
          <a:ext cx="4121679" cy="1268583"/>
          <a:chOff x="6461235" y="3606362"/>
          <a:chExt cx="4193627" cy="1129861"/>
        </a:xfrm>
      </xdr:grpSpPr>
      <xdr:cxnSp macro="">
        <xdr:nvCxnSpPr>
          <xdr:cNvPr id="104" name="Straight Arrow Connector 103">
            <a:extLst>
              <a:ext uri="{FF2B5EF4-FFF2-40B4-BE49-F238E27FC236}">
                <a16:creationId xmlns:a16="http://schemas.microsoft.com/office/drawing/2014/main" id="{00000000-0008-0000-0300-000068000000}"/>
              </a:ext>
            </a:extLst>
          </xdr:cNvPr>
          <xdr:cNvCxnSpPr/>
        </xdr:nvCxnSpPr>
        <xdr:spPr>
          <a:xfrm flipH="1">
            <a:off x="6463864" y="3606362"/>
            <a:ext cx="4190998"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05" name="Straight Arrow Connector 104">
            <a:extLst>
              <a:ext uri="{FF2B5EF4-FFF2-40B4-BE49-F238E27FC236}">
                <a16:creationId xmlns:a16="http://schemas.microsoft.com/office/drawing/2014/main" id="{00000000-0008-0000-0300-000069000000}"/>
              </a:ext>
            </a:extLst>
          </xdr:cNvPr>
          <xdr:cNvCxnSpPr/>
        </xdr:nvCxnSpPr>
        <xdr:spPr>
          <a:xfrm flipH="1">
            <a:off x="6465176" y="3758762"/>
            <a:ext cx="399261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06" name="Straight Arrow Connector 105">
            <a:extLst>
              <a:ext uri="{FF2B5EF4-FFF2-40B4-BE49-F238E27FC236}">
                <a16:creationId xmlns:a16="http://schemas.microsoft.com/office/drawing/2014/main" id="{00000000-0008-0000-0300-00006A000000}"/>
              </a:ext>
            </a:extLst>
          </xdr:cNvPr>
          <xdr:cNvCxnSpPr/>
        </xdr:nvCxnSpPr>
        <xdr:spPr>
          <a:xfrm flipH="1">
            <a:off x="6466490" y="3904593"/>
            <a:ext cx="3807372"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07" name="Straight Arrow Connector 106">
            <a:extLst>
              <a:ext uri="{FF2B5EF4-FFF2-40B4-BE49-F238E27FC236}">
                <a16:creationId xmlns:a16="http://schemas.microsoft.com/office/drawing/2014/main" id="{00000000-0008-0000-0300-00006B000000}"/>
              </a:ext>
            </a:extLst>
          </xdr:cNvPr>
          <xdr:cNvCxnSpPr/>
        </xdr:nvCxnSpPr>
        <xdr:spPr>
          <a:xfrm flipH="1">
            <a:off x="6461235" y="4043855"/>
            <a:ext cx="3635265"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08" name="Straight Arrow Connector 107">
            <a:extLst>
              <a:ext uri="{FF2B5EF4-FFF2-40B4-BE49-F238E27FC236}">
                <a16:creationId xmlns:a16="http://schemas.microsoft.com/office/drawing/2014/main" id="{00000000-0008-0000-0300-00006C000000}"/>
              </a:ext>
            </a:extLst>
          </xdr:cNvPr>
          <xdr:cNvCxnSpPr/>
        </xdr:nvCxnSpPr>
        <xdr:spPr>
          <a:xfrm flipH="1">
            <a:off x="6469118" y="4222531"/>
            <a:ext cx="3417175"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09" name="Straight Arrow Connector 108">
            <a:extLst>
              <a:ext uri="{FF2B5EF4-FFF2-40B4-BE49-F238E27FC236}">
                <a16:creationId xmlns:a16="http://schemas.microsoft.com/office/drawing/2014/main" id="{00000000-0008-0000-0300-00006D000000}"/>
              </a:ext>
            </a:extLst>
          </xdr:cNvPr>
          <xdr:cNvCxnSpPr/>
        </xdr:nvCxnSpPr>
        <xdr:spPr>
          <a:xfrm flipH="1">
            <a:off x="6470432" y="4736223"/>
            <a:ext cx="2890344"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10" name="Straight Arrow Connector 109">
            <a:extLst>
              <a:ext uri="{FF2B5EF4-FFF2-40B4-BE49-F238E27FC236}">
                <a16:creationId xmlns:a16="http://schemas.microsoft.com/office/drawing/2014/main" id="{00000000-0008-0000-0300-00006E000000}"/>
              </a:ext>
            </a:extLst>
          </xdr:cNvPr>
          <xdr:cNvCxnSpPr/>
        </xdr:nvCxnSpPr>
        <xdr:spPr>
          <a:xfrm flipH="1">
            <a:off x="6471746" y="4566743"/>
            <a:ext cx="3072961"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11" name="Straight Arrow Connector 110">
            <a:extLst>
              <a:ext uri="{FF2B5EF4-FFF2-40B4-BE49-F238E27FC236}">
                <a16:creationId xmlns:a16="http://schemas.microsoft.com/office/drawing/2014/main" id="{00000000-0008-0000-0300-00006F000000}"/>
              </a:ext>
            </a:extLst>
          </xdr:cNvPr>
          <xdr:cNvCxnSpPr/>
        </xdr:nvCxnSpPr>
        <xdr:spPr>
          <a:xfrm flipH="1">
            <a:off x="6471948" y="4382256"/>
            <a:ext cx="3236983"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16</xdr:col>
      <xdr:colOff>370255</xdr:colOff>
      <xdr:row>39</xdr:row>
      <xdr:rowOff>159425</xdr:rowOff>
    </xdr:from>
    <xdr:to>
      <xdr:col>18</xdr:col>
      <xdr:colOff>295348</xdr:colOff>
      <xdr:row>44</xdr:row>
      <xdr:rowOff>187273</xdr:rowOff>
    </xdr:to>
    <xdr:sp macro="" textlink="">
      <xdr:nvSpPr>
        <xdr:cNvPr id="112" name="Rectangle 111">
          <a:extLst>
            <a:ext uri="{FF2B5EF4-FFF2-40B4-BE49-F238E27FC236}">
              <a16:creationId xmlns:a16="http://schemas.microsoft.com/office/drawing/2014/main" id="{00000000-0008-0000-0300-000070000000}"/>
            </a:ext>
          </a:extLst>
        </xdr:cNvPr>
        <xdr:cNvSpPr/>
      </xdr:nvSpPr>
      <xdr:spPr>
        <a:xfrm>
          <a:off x="10144876" y="7963356"/>
          <a:ext cx="1146920" cy="10131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Rx Mode Control</a:t>
          </a:r>
          <a:endParaRPr lang="en-US" sz="1100" baseline="0"/>
        </a:p>
        <a:p>
          <a:pPr algn="ctr"/>
          <a:r>
            <a:rPr lang="en-US" sz="900" baseline="0"/>
            <a:t>LFAST_SCR[RDR]</a:t>
          </a:r>
          <a:endParaRPr lang="en-US" sz="900"/>
        </a:p>
      </xdr:txBody>
    </xdr:sp>
    <xdr:clientData/>
  </xdr:twoCellAnchor>
  <xdr:oneCellAnchor>
    <xdr:from>
      <xdr:col>16</xdr:col>
      <xdr:colOff>568080</xdr:colOff>
      <xdr:row>45</xdr:row>
      <xdr:rowOff>205783</xdr:rowOff>
    </xdr:from>
    <xdr:ext cx="1897673" cy="342900"/>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10342701" y="9192128"/>
          <a:ext cx="189767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Low Speed Mode (lfast_sys_clk)</a:t>
          </a:r>
        </a:p>
        <a:p>
          <a:r>
            <a:rPr lang="en-US" sz="800"/>
            <a:t>1 - High</a:t>
          </a:r>
          <a:r>
            <a:rPr lang="en-US" sz="800" baseline="0"/>
            <a:t> Speed Mode</a:t>
          </a:r>
          <a:endParaRPr lang="en-US" sz="800"/>
        </a:p>
      </xdr:txBody>
    </xdr:sp>
    <xdr:clientData/>
  </xdr:oneCellAnchor>
  <xdr:twoCellAnchor>
    <xdr:from>
      <xdr:col>16</xdr:col>
      <xdr:colOff>6940</xdr:colOff>
      <xdr:row>42</xdr:row>
      <xdr:rowOff>102415</xdr:rowOff>
    </xdr:from>
    <xdr:to>
      <xdr:col>16</xdr:col>
      <xdr:colOff>338167</xdr:colOff>
      <xdr:row>42</xdr:row>
      <xdr:rowOff>102415</xdr:rowOff>
    </xdr:to>
    <xdr:cxnSp macro="">
      <xdr:nvCxnSpPr>
        <xdr:cNvPr id="114" name="Straight Arrow Connector 113">
          <a:extLst>
            <a:ext uri="{FF2B5EF4-FFF2-40B4-BE49-F238E27FC236}">
              <a16:creationId xmlns:a16="http://schemas.microsoft.com/office/drawing/2014/main" id="{00000000-0008-0000-0300-000072000000}"/>
            </a:ext>
          </a:extLst>
        </xdr:cNvPr>
        <xdr:cNvCxnSpPr/>
      </xdr:nvCxnSpPr>
      <xdr:spPr>
        <a:xfrm flipH="1">
          <a:off x="9781561" y="8484415"/>
          <a:ext cx="33122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176078</xdr:colOff>
      <xdr:row>28</xdr:row>
      <xdr:rowOff>46996</xdr:rowOff>
    </xdr:from>
    <xdr:to>
      <xdr:col>15</xdr:col>
      <xdr:colOff>6569</xdr:colOff>
      <xdr:row>42</xdr:row>
      <xdr:rowOff>118241</xdr:rowOff>
    </xdr:to>
    <xdr:cxnSp macro="">
      <xdr:nvCxnSpPr>
        <xdr:cNvPr id="115" name="Straight Connector 114">
          <a:extLst>
            <a:ext uri="{FF2B5EF4-FFF2-40B4-BE49-F238E27FC236}">
              <a16:creationId xmlns:a16="http://schemas.microsoft.com/office/drawing/2014/main" id="{00000000-0008-0000-0300-000073000000}"/>
            </a:ext>
          </a:extLst>
        </xdr:cNvPr>
        <xdr:cNvCxnSpPr/>
      </xdr:nvCxnSpPr>
      <xdr:spPr>
        <a:xfrm flipH="1" flipV="1">
          <a:off x="6285216" y="5610910"/>
          <a:ext cx="2885060" cy="2889331"/>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365959</xdr:colOff>
      <xdr:row>48</xdr:row>
      <xdr:rowOff>107334</xdr:rowOff>
    </xdr:from>
    <xdr:to>
      <xdr:col>18</xdr:col>
      <xdr:colOff>291052</xdr:colOff>
      <xdr:row>53</xdr:row>
      <xdr:rowOff>171816</xdr:rowOff>
    </xdr:to>
    <xdr:sp macro="" textlink="">
      <xdr:nvSpPr>
        <xdr:cNvPr id="116" name="Rectangle 115">
          <a:extLst>
            <a:ext uri="{FF2B5EF4-FFF2-40B4-BE49-F238E27FC236}">
              <a16:creationId xmlns:a16="http://schemas.microsoft.com/office/drawing/2014/main" id="{00000000-0008-0000-0300-000074000000}"/>
            </a:ext>
          </a:extLst>
        </xdr:cNvPr>
        <xdr:cNvSpPr/>
      </xdr:nvSpPr>
      <xdr:spPr>
        <a:xfrm>
          <a:off x="10140580" y="9691455"/>
          <a:ext cx="1146920" cy="10498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Tx Mode Control</a:t>
          </a:r>
          <a:endParaRPr lang="en-US" sz="1100" baseline="0"/>
        </a:p>
        <a:p>
          <a:pPr algn="ctr"/>
          <a:r>
            <a:rPr lang="en-US" sz="900" baseline="0"/>
            <a:t>LFAST_SCR[TDR]</a:t>
          </a:r>
          <a:endParaRPr lang="en-US" sz="900"/>
        </a:p>
      </xdr:txBody>
    </xdr:sp>
    <xdr:clientData/>
  </xdr:twoCellAnchor>
  <xdr:oneCellAnchor>
    <xdr:from>
      <xdr:col>16</xdr:col>
      <xdr:colOff>549132</xdr:colOff>
      <xdr:row>54</xdr:row>
      <xdr:rowOff>175995</xdr:rowOff>
    </xdr:from>
    <xdr:ext cx="1897673" cy="342900"/>
    <xdr:sp macro="" textlink="">
      <xdr:nvSpPr>
        <xdr:cNvPr id="117" name="TextBox 116">
          <a:extLst>
            <a:ext uri="{FF2B5EF4-FFF2-40B4-BE49-F238E27FC236}">
              <a16:creationId xmlns:a16="http://schemas.microsoft.com/office/drawing/2014/main" id="{00000000-0008-0000-0300-000075000000}"/>
            </a:ext>
          </a:extLst>
        </xdr:cNvPr>
        <xdr:cNvSpPr txBox="1"/>
      </xdr:nvSpPr>
      <xdr:spPr>
        <a:xfrm>
          <a:off x="10323753" y="10942529"/>
          <a:ext cx="189767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Low Speed Mode (lfast_sys_clk)</a:t>
          </a:r>
        </a:p>
        <a:p>
          <a:r>
            <a:rPr lang="en-US" sz="800"/>
            <a:t>1 - High</a:t>
          </a:r>
          <a:r>
            <a:rPr lang="en-US" sz="800" baseline="0"/>
            <a:t> Speed Mode</a:t>
          </a:r>
          <a:endParaRPr lang="en-US" sz="800"/>
        </a:p>
      </xdr:txBody>
    </xdr:sp>
    <xdr:clientData/>
  </xdr:oneCellAnchor>
  <xdr:twoCellAnchor>
    <xdr:from>
      <xdr:col>16</xdr:col>
      <xdr:colOff>1887</xdr:colOff>
      <xdr:row>51</xdr:row>
      <xdr:rowOff>108181</xdr:rowOff>
    </xdr:from>
    <xdr:to>
      <xdr:col>16</xdr:col>
      <xdr:colOff>333114</xdr:colOff>
      <xdr:row>51</xdr:row>
      <xdr:rowOff>108181</xdr:rowOff>
    </xdr:to>
    <xdr:cxnSp macro="">
      <xdr:nvCxnSpPr>
        <xdr:cNvPr id="118" name="Straight Arrow Connector 117">
          <a:extLst>
            <a:ext uri="{FF2B5EF4-FFF2-40B4-BE49-F238E27FC236}">
              <a16:creationId xmlns:a16="http://schemas.microsoft.com/office/drawing/2014/main" id="{00000000-0008-0000-0300-000076000000}"/>
            </a:ext>
          </a:extLst>
        </xdr:cNvPr>
        <xdr:cNvCxnSpPr/>
      </xdr:nvCxnSpPr>
      <xdr:spPr>
        <a:xfrm flipH="1">
          <a:off x="9776508" y="10270371"/>
          <a:ext cx="33122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559473</xdr:colOff>
      <xdr:row>28</xdr:row>
      <xdr:rowOff>68977</xdr:rowOff>
    </xdr:from>
    <xdr:to>
      <xdr:col>14</xdr:col>
      <xdr:colOff>604345</xdr:colOff>
      <xdr:row>51</xdr:row>
      <xdr:rowOff>111672</xdr:rowOff>
    </xdr:to>
    <xdr:cxnSp macro="">
      <xdr:nvCxnSpPr>
        <xdr:cNvPr id="119" name="Straight Connector 118">
          <a:extLst>
            <a:ext uri="{FF2B5EF4-FFF2-40B4-BE49-F238E27FC236}">
              <a16:creationId xmlns:a16="http://schemas.microsoft.com/office/drawing/2014/main" id="{00000000-0008-0000-0300-000077000000}"/>
            </a:ext>
          </a:extLst>
        </xdr:cNvPr>
        <xdr:cNvCxnSpPr/>
      </xdr:nvCxnSpPr>
      <xdr:spPr>
        <a:xfrm flipH="1" flipV="1">
          <a:off x="5446783" y="5632891"/>
          <a:ext cx="3710355" cy="4640971"/>
        </a:xfrm>
        <a:prstGeom prst="line">
          <a:avLst/>
        </a:prstGeom>
        <a:ln w="19050">
          <a:prstDash val="sysDot"/>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571500</xdr:colOff>
      <xdr:row>81</xdr:row>
      <xdr:rowOff>87923</xdr:rowOff>
    </xdr:from>
    <xdr:to>
      <xdr:col>20</xdr:col>
      <xdr:colOff>4847</xdr:colOff>
      <xdr:row>82</xdr:row>
      <xdr:rowOff>172598</xdr:rowOff>
    </xdr:to>
    <xdr:sp macro="" textlink="">
      <xdr:nvSpPr>
        <xdr:cNvPr id="121" name="Rectangle 120">
          <a:extLst>
            <a:ext uri="{FF2B5EF4-FFF2-40B4-BE49-F238E27FC236}">
              <a16:creationId xmlns:a16="http://schemas.microsoft.com/office/drawing/2014/main" id="{00000000-0008-0000-0300-000079000000}"/>
            </a:ext>
          </a:extLst>
        </xdr:cNvPr>
        <xdr:cNvSpPr/>
      </xdr:nvSpPr>
      <xdr:spPr>
        <a:xfrm>
          <a:off x="11517923" y="16126558"/>
          <a:ext cx="649616" cy="2971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/2</a:t>
          </a:r>
          <a:endParaRPr lang="en-US" sz="750"/>
        </a:p>
      </xdr:txBody>
    </xdr:sp>
    <xdr:clientData/>
  </xdr:twoCellAnchor>
  <xdr:twoCellAnchor>
    <xdr:from>
      <xdr:col>20</xdr:col>
      <xdr:colOff>14655</xdr:colOff>
      <xdr:row>82</xdr:row>
      <xdr:rowOff>29308</xdr:rowOff>
    </xdr:from>
    <xdr:to>
      <xdr:col>22</xdr:col>
      <xdr:colOff>359407</xdr:colOff>
      <xdr:row>82</xdr:row>
      <xdr:rowOff>29308</xdr:rowOff>
    </xdr:to>
    <xdr:cxnSp macro="">
      <xdr:nvCxnSpPr>
        <xdr:cNvPr id="122" name="Straight Arrow Connector 121">
          <a:extLst>
            <a:ext uri="{FF2B5EF4-FFF2-40B4-BE49-F238E27FC236}">
              <a16:creationId xmlns:a16="http://schemas.microsoft.com/office/drawing/2014/main" id="{00000000-0008-0000-0300-00007A000000}"/>
            </a:ext>
          </a:extLst>
        </xdr:cNvPr>
        <xdr:cNvCxnSpPr/>
      </xdr:nvCxnSpPr>
      <xdr:spPr>
        <a:xfrm>
          <a:off x="12177347" y="16280423"/>
          <a:ext cx="1561022"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417634</xdr:colOff>
      <xdr:row>80</xdr:row>
      <xdr:rowOff>36634</xdr:rowOff>
    </xdr:from>
    <xdr:to>
      <xdr:col>24</xdr:col>
      <xdr:colOff>215579</xdr:colOff>
      <xdr:row>83</xdr:row>
      <xdr:rowOff>181372</xdr:rowOff>
    </xdr:to>
    <xdr:sp macro="" textlink="">
      <xdr:nvSpPr>
        <xdr:cNvPr id="123" name="Rectangle 122">
          <a:extLst>
            <a:ext uri="{FF2B5EF4-FFF2-40B4-BE49-F238E27FC236}">
              <a16:creationId xmlns:a16="http://schemas.microsoft.com/office/drawing/2014/main" id="{00000000-0008-0000-0300-00007B000000}"/>
            </a:ext>
          </a:extLst>
        </xdr:cNvPr>
        <xdr:cNvSpPr/>
      </xdr:nvSpPr>
      <xdr:spPr>
        <a:xfrm>
          <a:off x="13796596" y="15877442"/>
          <a:ext cx="1014214" cy="7675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 Switch</a:t>
          </a:r>
        </a:p>
        <a:p>
          <a:pPr algn="ctr"/>
          <a:r>
            <a:rPr lang="en-US" sz="900"/>
            <a:t>LFAST_PLLCR[SWPOFF,SWPON]</a:t>
          </a:r>
        </a:p>
      </xdr:txBody>
    </xdr:sp>
    <xdr:clientData/>
  </xdr:twoCellAnchor>
  <xdr:twoCellAnchor>
    <xdr:from>
      <xdr:col>24</xdr:col>
      <xdr:colOff>227134</xdr:colOff>
      <xdr:row>82</xdr:row>
      <xdr:rowOff>102577</xdr:rowOff>
    </xdr:from>
    <xdr:to>
      <xdr:col>25</xdr:col>
      <xdr:colOff>578827</xdr:colOff>
      <xdr:row>82</xdr:row>
      <xdr:rowOff>102577</xdr:rowOff>
    </xdr:to>
    <xdr:cxnSp macro="">
      <xdr:nvCxnSpPr>
        <xdr:cNvPr id="124" name="Straight Arrow Connector 123">
          <a:extLst>
            <a:ext uri="{FF2B5EF4-FFF2-40B4-BE49-F238E27FC236}">
              <a16:creationId xmlns:a16="http://schemas.microsoft.com/office/drawing/2014/main" id="{00000000-0008-0000-0300-00007C000000}"/>
            </a:ext>
          </a:extLst>
        </xdr:cNvPr>
        <xdr:cNvCxnSpPr/>
      </xdr:nvCxnSpPr>
      <xdr:spPr>
        <a:xfrm>
          <a:off x="14822365" y="16353692"/>
          <a:ext cx="959827" cy="0"/>
        </a:xfrm>
        <a:prstGeom prst="straightConnector1">
          <a:avLst/>
        </a:prstGeom>
        <a:ln w="19050">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426244</xdr:colOff>
      <xdr:row>8</xdr:row>
      <xdr:rowOff>14287</xdr:rowOff>
    </xdr:from>
    <xdr:to>
      <xdr:col>7</xdr:col>
      <xdr:colOff>218327</xdr:colOff>
      <xdr:row>11</xdr:row>
      <xdr:rowOff>182471</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462338" y="1538287"/>
          <a:ext cx="1006520"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Prediv</a:t>
          </a:r>
        </a:p>
        <a:p>
          <a:pPr algn="ctr"/>
          <a:r>
            <a:rPr lang="en-US" sz="1100"/>
            <a:t>/0...7</a:t>
          </a:r>
        </a:p>
        <a:p>
          <a:pPr algn="ctr"/>
          <a:r>
            <a:rPr lang="en-US" sz="900"/>
            <a:t>PLLDIG_PLL0DV[PREDIV]</a:t>
          </a:r>
        </a:p>
      </xdr:txBody>
    </xdr:sp>
    <xdr:clientData/>
  </xdr:twoCellAnchor>
  <xdr:oneCellAnchor>
    <xdr:from>
      <xdr:col>0</xdr:col>
      <xdr:colOff>483577</xdr:colOff>
      <xdr:row>9</xdr:row>
      <xdr:rowOff>145073</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483577" y="1859573"/>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PLL0</a:t>
          </a:r>
          <a:r>
            <a:rPr lang="en-US" sz="1000" b="1" baseline="0"/>
            <a:t> Input</a:t>
          </a:r>
          <a:endParaRPr lang="en-US" sz="1000" b="1"/>
        </a:p>
      </xdr:txBody>
    </xdr:sp>
    <xdr:clientData/>
  </xdr:oneCellAnchor>
  <xdr:twoCellAnchor>
    <xdr:from>
      <xdr:col>3</xdr:col>
      <xdr:colOff>0</xdr:colOff>
      <xdr:row>10</xdr:row>
      <xdr:rowOff>104775</xdr:rowOff>
    </xdr:from>
    <xdr:to>
      <xdr:col>5</xdr:col>
      <xdr:colOff>390525</xdr:colOff>
      <xdr:row>10</xdr:row>
      <xdr:rowOff>104775</xdr:rowOff>
    </xdr:to>
    <xdr:cxnSp macro="">
      <xdr:nvCxnSpPr>
        <xdr:cNvPr id="4" name="Straight Arrow Connector 3">
          <a:extLst>
            <a:ext uri="{FF2B5EF4-FFF2-40B4-BE49-F238E27FC236}">
              <a16:creationId xmlns:a16="http://schemas.microsoft.com/office/drawing/2014/main" id="{00000000-0008-0000-0400-000004000000}"/>
            </a:ext>
          </a:extLst>
        </xdr:cNvPr>
        <xdr:cNvCxnSpPr/>
      </xdr:nvCxnSpPr>
      <xdr:spPr>
        <a:xfrm>
          <a:off x="1824404" y="2009775"/>
          <a:ext cx="1606794"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392906</xdr:colOff>
      <xdr:row>8</xdr:row>
      <xdr:rowOff>11907</xdr:rowOff>
    </xdr:from>
    <xdr:to>
      <xdr:col>11</xdr:col>
      <xdr:colOff>184989</xdr:colOff>
      <xdr:row>11</xdr:row>
      <xdr:rowOff>180091</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5857875" y="1535907"/>
          <a:ext cx="1006520"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Multiplier</a:t>
          </a:r>
        </a:p>
        <a:p>
          <a:pPr algn="ctr"/>
          <a:r>
            <a:rPr lang="en-US" sz="1100"/>
            <a:t>*8...127</a:t>
          </a:r>
        </a:p>
        <a:p>
          <a:pPr algn="ctr"/>
          <a:r>
            <a:rPr lang="en-US" sz="900"/>
            <a:t>PLLDIG_PLL0DV[MFD]</a:t>
          </a:r>
        </a:p>
      </xdr:txBody>
    </xdr:sp>
    <xdr:clientData/>
  </xdr:twoCellAnchor>
  <xdr:twoCellAnchor>
    <xdr:from>
      <xdr:col>7</xdr:col>
      <xdr:colOff>218327</xdr:colOff>
      <xdr:row>10</xdr:row>
      <xdr:rowOff>749</xdr:rowOff>
    </xdr:from>
    <xdr:to>
      <xdr:col>9</xdr:col>
      <xdr:colOff>392906</xdr:colOff>
      <xdr:row>10</xdr:row>
      <xdr:rowOff>3129</xdr:rowOff>
    </xdr:to>
    <xdr:cxnSp macro="">
      <xdr:nvCxnSpPr>
        <xdr:cNvPr id="8" name="Straight Arrow Connector 7">
          <a:extLst>
            <a:ext uri="{FF2B5EF4-FFF2-40B4-BE49-F238E27FC236}">
              <a16:creationId xmlns:a16="http://schemas.microsoft.com/office/drawing/2014/main" id="{00000000-0008-0000-0400-000008000000}"/>
            </a:ext>
          </a:extLst>
        </xdr:cNvPr>
        <xdr:cNvCxnSpPr>
          <a:stCxn id="2" idx="3"/>
          <a:endCxn id="7" idx="1"/>
        </xdr:cNvCxnSpPr>
      </xdr:nvCxnSpPr>
      <xdr:spPr>
        <a:xfrm flipV="1">
          <a:off x="4499564" y="1905749"/>
          <a:ext cx="1397789" cy="238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399634</xdr:colOff>
      <xdr:row>8</xdr:row>
      <xdr:rowOff>11907</xdr:rowOff>
    </xdr:from>
    <xdr:to>
      <xdr:col>15</xdr:col>
      <xdr:colOff>191717</xdr:colOff>
      <xdr:row>11</xdr:row>
      <xdr:rowOff>180091</xdr:rowOff>
    </xdr:to>
    <xdr:sp macro="" textlink="">
      <xdr:nvSpPr>
        <xdr:cNvPr id="16" name="Rectangle 15">
          <a:extLst>
            <a:ext uri="{FF2B5EF4-FFF2-40B4-BE49-F238E27FC236}">
              <a16:creationId xmlns:a16="http://schemas.microsoft.com/office/drawing/2014/main" id="{00000000-0008-0000-0400-000010000000}"/>
            </a:ext>
          </a:extLst>
        </xdr:cNvPr>
        <xdr:cNvSpPr/>
      </xdr:nvSpPr>
      <xdr:spPr>
        <a:xfrm>
          <a:off x="8367504" y="1535907"/>
          <a:ext cx="1017909"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RFDPHI</a:t>
          </a:r>
        </a:p>
        <a:p>
          <a:pPr algn="ctr"/>
          <a:r>
            <a:rPr lang="en-US" sz="1100"/>
            <a:t>/1...63</a:t>
          </a:r>
        </a:p>
        <a:p>
          <a:pPr algn="ctr"/>
          <a:r>
            <a:rPr lang="en-US" sz="900"/>
            <a:t>PLLDIG_PLL0DV[RFDPHI]</a:t>
          </a:r>
        </a:p>
      </xdr:txBody>
    </xdr:sp>
    <xdr:clientData/>
  </xdr:twoCellAnchor>
  <xdr:twoCellAnchor>
    <xdr:from>
      <xdr:col>11</xdr:col>
      <xdr:colOff>184989</xdr:colOff>
      <xdr:row>10</xdr:row>
      <xdr:rowOff>749</xdr:rowOff>
    </xdr:from>
    <xdr:to>
      <xdr:col>13</xdr:col>
      <xdr:colOff>399634</xdr:colOff>
      <xdr:row>10</xdr:row>
      <xdr:rowOff>749</xdr:rowOff>
    </xdr:to>
    <xdr:cxnSp macro="">
      <xdr:nvCxnSpPr>
        <xdr:cNvPr id="17" name="Straight Arrow Connector 16">
          <a:extLst>
            <a:ext uri="{FF2B5EF4-FFF2-40B4-BE49-F238E27FC236}">
              <a16:creationId xmlns:a16="http://schemas.microsoft.com/office/drawing/2014/main" id="{00000000-0008-0000-0400-000011000000}"/>
            </a:ext>
          </a:extLst>
        </xdr:cNvPr>
        <xdr:cNvCxnSpPr>
          <a:stCxn id="7" idx="3"/>
          <a:endCxn id="16" idx="1"/>
        </xdr:cNvCxnSpPr>
      </xdr:nvCxnSpPr>
      <xdr:spPr>
        <a:xfrm>
          <a:off x="6927032" y="1905749"/>
          <a:ext cx="1440472"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208282</xdr:colOff>
      <xdr:row>10</xdr:row>
      <xdr:rowOff>101667</xdr:rowOff>
    </xdr:from>
    <xdr:to>
      <xdr:col>18</xdr:col>
      <xdr:colOff>8282</xdr:colOff>
      <xdr:row>10</xdr:row>
      <xdr:rowOff>101667</xdr:rowOff>
    </xdr:to>
    <xdr:cxnSp macro="">
      <xdr:nvCxnSpPr>
        <xdr:cNvPr id="22" name="Straight Arrow Connector 21">
          <a:extLst>
            <a:ext uri="{FF2B5EF4-FFF2-40B4-BE49-F238E27FC236}">
              <a16:creationId xmlns:a16="http://schemas.microsoft.com/office/drawing/2014/main" id="{00000000-0008-0000-0400-000016000000}"/>
            </a:ext>
          </a:extLst>
        </xdr:cNvPr>
        <xdr:cNvCxnSpPr/>
      </xdr:nvCxnSpPr>
      <xdr:spPr>
        <a:xfrm>
          <a:off x="9382361" y="2006667"/>
          <a:ext cx="163481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18</xdr:col>
      <xdr:colOff>480571</xdr:colOff>
      <xdr:row>9</xdr:row>
      <xdr:rowOff>152400</xdr:rowOff>
    </xdr:from>
    <xdr:ext cx="847725" cy="266700"/>
    <xdr:sp macro="" textlink="">
      <xdr:nvSpPr>
        <xdr:cNvPr id="25" name="TextBox 24">
          <a:extLst>
            <a:ext uri="{FF2B5EF4-FFF2-40B4-BE49-F238E27FC236}">
              <a16:creationId xmlns:a16="http://schemas.microsoft.com/office/drawing/2014/main" id="{00000000-0008-0000-0400-000019000000}"/>
            </a:ext>
          </a:extLst>
        </xdr:cNvPr>
        <xdr:cNvSpPr txBox="1"/>
      </xdr:nvSpPr>
      <xdr:spPr>
        <a:xfrm>
          <a:off x="11426994" y="18669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PLL0 PHI</a:t>
          </a:r>
        </a:p>
      </xdr:txBody>
    </xdr:sp>
    <xdr:clientData/>
  </xdr:oneCellAnchor>
  <xdr:twoCellAnchor>
    <xdr:from>
      <xdr:col>13</xdr:col>
      <xdr:colOff>74543</xdr:colOff>
      <xdr:row>16</xdr:row>
      <xdr:rowOff>111736</xdr:rowOff>
    </xdr:from>
    <xdr:to>
      <xdr:col>13</xdr:col>
      <xdr:colOff>405847</xdr:colOff>
      <xdr:row>16</xdr:row>
      <xdr:rowOff>111736</xdr:rowOff>
    </xdr:to>
    <xdr:cxnSp macro="">
      <xdr:nvCxnSpPr>
        <xdr:cNvPr id="26" name="Straight Arrow Connector 25">
          <a:extLst>
            <a:ext uri="{FF2B5EF4-FFF2-40B4-BE49-F238E27FC236}">
              <a16:creationId xmlns:a16="http://schemas.microsoft.com/office/drawing/2014/main" id="{00000000-0008-0000-0400-00001A000000}"/>
            </a:ext>
          </a:extLst>
        </xdr:cNvPr>
        <xdr:cNvCxnSpPr/>
      </xdr:nvCxnSpPr>
      <xdr:spPr>
        <a:xfrm>
          <a:off x="8042413" y="3159736"/>
          <a:ext cx="331304"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394663</xdr:colOff>
      <xdr:row>14</xdr:row>
      <xdr:rowOff>15221</xdr:rowOff>
    </xdr:from>
    <xdr:to>
      <xdr:col>15</xdr:col>
      <xdr:colOff>186746</xdr:colOff>
      <xdr:row>17</xdr:row>
      <xdr:rowOff>183405</xdr:rowOff>
    </xdr:to>
    <xdr:sp macro="" textlink="">
      <xdr:nvSpPr>
        <xdr:cNvPr id="28" name="Rectangle 27">
          <a:extLst>
            <a:ext uri="{FF2B5EF4-FFF2-40B4-BE49-F238E27FC236}">
              <a16:creationId xmlns:a16="http://schemas.microsoft.com/office/drawing/2014/main" id="{00000000-0008-0000-0400-00001C000000}"/>
            </a:ext>
          </a:extLst>
        </xdr:cNvPr>
        <xdr:cNvSpPr/>
      </xdr:nvSpPr>
      <xdr:spPr>
        <a:xfrm>
          <a:off x="8362533" y="2682221"/>
          <a:ext cx="1017909"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RFDPHI1</a:t>
          </a:r>
        </a:p>
        <a:p>
          <a:pPr algn="ctr"/>
          <a:r>
            <a:rPr lang="en-US" sz="1100"/>
            <a:t>/4...15</a:t>
          </a:r>
        </a:p>
        <a:p>
          <a:pPr algn="ctr"/>
          <a:r>
            <a:rPr lang="en-US" sz="900"/>
            <a:t>PLLDIG_PLL0DV[RFDPHI1]</a:t>
          </a:r>
        </a:p>
      </xdr:txBody>
    </xdr:sp>
    <xdr:clientData/>
  </xdr:twoCellAnchor>
  <xdr:twoCellAnchor>
    <xdr:from>
      <xdr:col>13</xdr:col>
      <xdr:colOff>82826</xdr:colOff>
      <xdr:row>9</xdr:row>
      <xdr:rowOff>186280</xdr:rowOff>
    </xdr:from>
    <xdr:to>
      <xdr:col>13</xdr:col>
      <xdr:colOff>82826</xdr:colOff>
      <xdr:row>16</xdr:row>
      <xdr:rowOff>107674</xdr:rowOff>
    </xdr:to>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a:off x="8050696" y="1900780"/>
          <a:ext cx="0" cy="1254894"/>
        </a:xfrm>
        <a:prstGeom prst="line">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217873</xdr:colOff>
      <xdr:row>16</xdr:row>
      <xdr:rowOff>101665</xdr:rowOff>
    </xdr:from>
    <xdr:to>
      <xdr:col>18</xdr:col>
      <xdr:colOff>17873</xdr:colOff>
      <xdr:row>16</xdr:row>
      <xdr:rowOff>101665</xdr:rowOff>
    </xdr:to>
    <xdr:cxnSp macro="">
      <xdr:nvCxnSpPr>
        <xdr:cNvPr id="36" name="Straight Arrow Connector 35">
          <a:extLst>
            <a:ext uri="{FF2B5EF4-FFF2-40B4-BE49-F238E27FC236}">
              <a16:creationId xmlns:a16="http://schemas.microsoft.com/office/drawing/2014/main" id="{00000000-0008-0000-0400-000024000000}"/>
            </a:ext>
          </a:extLst>
        </xdr:cNvPr>
        <xdr:cNvCxnSpPr/>
      </xdr:nvCxnSpPr>
      <xdr:spPr>
        <a:xfrm>
          <a:off x="9391952" y="3149665"/>
          <a:ext cx="163481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18</xdr:col>
      <xdr:colOff>502569</xdr:colOff>
      <xdr:row>15</xdr:row>
      <xdr:rowOff>152400</xdr:rowOff>
    </xdr:from>
    <xdr:ext cx="847725" cy="266700"/>
    <xdr:sp macro="" textlink="">
      <xdr:nvSpPr>
        <xdr:cNvPr id="37" name="TextBox 36">
          <a:extLst>
            <a:ext uri="{FF2B5EF4-FFF2-40B4-BE49-F238E27FC236}">
              <a16:creationId xmlns:a16="http://schemas.microsoft.com/office/drawing/2014/main" id="{00000000-0008-0000-0400-000025000000}"/>
            </a:ext>
          </a:extLst>
        </xdr:cNvPr>
        <xdr:cNvSpPr txBox="1"/>
      </xdr:nvSpPr>
      <xdr:spPr>
        <a:xfrm>
          <a:off x="11511464" y="3009900"/>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PLL0 PHI1</a:t>
          </a:r>
        </a:p>
      </xdr:txBody>
    </xdr:sp>
    <xdr:clientData/>
  </xdr:oneCellAnchor>
  <xdr:oneCellAnchor>
    <xdr:from>
      <xdr:col>7</xdr:col>
      <xdr:colOff>16113</xdr:colOff>
      <xdr:row>2</xdr:row>
      <xdr:rowOff>58615</xdr:rowOff>
    </xdr:from>
    <xdr:ext cx="4226176" cy="895348"/>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4273055" y="439615"/>
          <a:ext cx="42261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PLL0 Setup</a:t>
          </a:r>
        </a:p>
      </xdr:txBody>
    </xdr:sp>
    <xdr:clientData/>
  </xdr:oneCellAnchor>
  <xdr:twoCellAnchor>
    <xdr:from>
      <xdr:col>2</xdr:col>
      <xdr:colOff>417634</xdr:colOff>
      <xdr:row>15</xdr:row>
      <xdr:rowOff>183172</xdr:rowOff>
    </xdr:from>
    <xdr:to>
      <xdr:col>4</xdr:col>
      <xdr:colOff>202443</xdr:colOff>
      <xdr:row>19</xdr:row>
      <xdr:rowOff>180941</xdr:rowOff>
    </xdr:to>
    <xdr:sp macro="" textlink="">
      <xdr:nvSpPr>
        <xdr:cNvPr id="18" name="Rectangle 17">
          <a:extLst>
            <a:ext uri="{FF2B5EF4-FFF2-40B4-BE49-F238E27FC236}">
              <a16:creationId xmlns:a16="http://schemas.microsoft.com/office/drawing/2014/main" id="{00000000-0008-0000-0400-000012000000}"/>
            </a:ext>
          </a:extLst>
        </xdr:cNvPr>
        <xdr:cNvSpPr/>
      </xdr:nvSpPr>
      <xdr:spPr>
        <a:xfrm>
          <a:off x="1633903" y="3040672"/>
          <a:ext cx="1001078" cy="7597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PLL0</a:t>
          </a:r>
          <a:r>
            <a:rPr lang="en-US" sz="1100" baseline="0"/>
            <a:t> Mode Control</a:t>
          </a:r>
        </a:p>
        <a:p>
          <a:pPr algn="ctr"/>
          <a:r>
            <a:rPr lang="en-US" sz="800"/>
            <a:t>MC_ME_&lt;MODE&gt;_MC[PLL0ON]</a:t>
          </a:r>
        </a:p>
      </xdr:txBody>
    </xdr:sp>
    <xdr:clientData/>
  </xdr:twoCellAnchor>
  <xdr:twoCellAnchor>
    <xdr:from>
      <xdr:col>3</xdr:col>
      <xdr:colOff>298939</xdr:colOff>
      <xdr:row>10</xdr:row>
      <xdr:rowOff>102577</xdr:rowOff>
    </xdr:from>
    <xdr:to>
      <xdr:col>3</xdr:col>
      <xdr:colOff>298940</xdr:colOff>
      <xdr:row>15</xdr:row>
      <xdr:rowOff>183907</xdr:rowOff>
    </xdr:to>
    <xdr:cxnSp macro="">
      <xdr:nvCxnSpPr>
        <xdr:cNvPr id="20" name="Straight Arrow Connector 19">
          <a:extLst>
            <a:ext uri="{FF2B5EF4-FFF2-40B4-BE49-F238E27FC236}">
              <a16:creationId xmlns:a16="http://schemas.microsoft.com/office/drawing/2014/main" id="{00000000-0008-0000-0400-000014000000}"/>
            </a:ext>
          </a:extLst>
        </xdr:cNvPr>
        <xdr:cNvCxnSpPr/>
      </xdr:nvCxnSpPr>
      <xdr:spPr>
        <a:xfrm flipH="1" flipV="1">
          <a:off x="2123343" y="2007577"/>
          <a:ext cx="1" cy="103383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564174</xdr:colOff>
      <xdr:row>20</xdr:row>
      <xdr:rowOff>205154</xdr:rowOff>
    </xdr:from>
    <xdr:ext cx="876300" cy="342900"/>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780443" y="4022481"/>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PLL0 Off</a:t>
          </a:r>
        </a:p>
        <a:p>
          <a:r>
            <a:rPr lang="en-US" sz="800"/>
            <a:t>1 - PLL0</a:t>
          </a:r>
          <a:r>
            <a:rPr lang="en-US" sz="800" baseline="0"/>
            <a:t> On</a:t>
          </a:r>
          <a:endParaRPr lang="en-US" sz="8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11910</xdr:rowOff>
    </xdr:from>
    <xdr:to>
      <xdr:col>11</xdr:col>
      <xdr:colOff>285750</xdr:colOff>
      <xdr:row>9</xdr:row>
      <xdr:rowOff>47629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714500" y="881066"/>
          <a:ext cx="5131594" cy="20121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solidFill>
                <a:sysClr val="windowText" lastClr="000000"/>
              </a:solidFill>
            </a:rPr>
            <a:t>                      f</a:t>
          </a:r>
          <a:r>
            <a:rPr lang="en-US" sz="1600" baseline="-25000">
              <a:solidFill>
                <a:sysClr val="windowText" lastClr="000000"/>
              </a:solidFill>
            </a:rPr>
            <a:t>PLL0_ref</a:t>
          </a:r>
          <a:r>
            <a:rPr lang="en-US" sz="1600">
              <a:solidFill>
                <a:sysClr val="windowText" lastClr="000000"/>
              </a:solidFill>
            </a:rPr>
            <a:t>  × </a:t>
          </a:r>
          <a:r>
            <a:rPr lang="en-US" sz="1600">
              <a:solidFill>
                <a:sysClr val="windowText" lastClr="000000"/>
              </a:solidFill>
              <a:latin typeface="+mn-lt"/>
              <a:ea typeface="+mn-ea"/>
              <a:cs typeface="+mn-cs"/>
            </a:rPr>
            <a:t>PLL0DV[MFD] </a:t>
          </a:r>
          <a:r>
            <a:rPr lang="en-US" sz="1100">
              <a:solidFill>
                <a:schemeClr val="dk1"/>
              </a:solidFill>
              <a:latin typeface="+mn-lt"/>
              <a:ea typeface="+mn-ea"/>
              <a:cs typeface="+mn-cs"/>
            </a:rPr>
            <a:t>×</a:t>
          </a:r>
          <a:r>
            <a:rPr lang="en-US" sz="1600">
              <a:solidFill>
                <a:sysClr val="windowText" lastClr="000000"/>
              </a:solidFill>
              <a:latin typeface="+mn-lt"/>
              <a:ea typeface="+mn-ea"/>
              <a:cs typeface="+mn-cs"/>
            </a:rPr>
            <a:t> 2</a:t>
          </a:r>
        </a:p>
        <a:p>
          <a:r>
            <a:rPr lang="en-US" sz="1600">
              <a:solidFill>
                <a:sysClr val="windowText" lastClr="000000"/>
              </a:solidFill>
              <a:latin typeface="+mn-lt"/>
              <a:ea typeface="+mn-ea"/>
              <a:cs typeface="+mn-cs"/>
            </a:rPr>
            <a:t>f</a:t>
          </a:r>
          <a:r>
            <a:rPr lang="en-US" sz="1600" baseline="-25000">
              <a:solidFill>
                <a:sysClr val="windowText" lastClr="000000"/>
              </a:solidFill>
              <a:latin typeface="+mn-lt"/>
              <a:ea typeface="+mn-ea"/>
              <a:cs typeface="+mn-cs"/>
            </a:rPr>
            <a:t>pll0_VCO</a:t>
          </a:r>
          <a:r>
            <a:rPr lang="en-US" sz="1600">
              <a:solidFill>
                <a:sysClr val="windowText" lastClr="000000"/>
              </a:solidFill>
              <a:latin typeface="+mn-lt"/>
              <a:ea typeface="+mn-ea"/>
              <a:cs typeface="+mn-cs"/>
            </a:rPr>
            <a:t> = </a:t>
          </a:r>
          <a:r>
            <a:rPr lang="en-US" sz="1600" baseline="0">
              <a:solidFill>
                <a:sysClr val="windowText" lastClr="000000"/>
              </a:solidFill>
              <a:latin typeface="+mn-lt"/>
              <a:ea typeface="+mn-ea"/>
              <a:cs typeface="+mn-cs"/>
            </a:rPr>
            <a:t>   </a:t>
          </a:r>
          <a:r>
            <a:rPr lang="en-US" sz="1600">
              <a:solidFill>
                <a:sysClr val="windowText" lastClr="000000"/>
              </a:solidFill>
              <a:latin typeface="+mn-lt"/>
              <a:ea typeface="+mn-ea"/>
              <a:cs typeface="+mn-cs"/>
            </a:rPr>
            <a:t>------------------------------------------</a:t>
          </a:r>
          <a:endParaRPr lang="en-US" sz="1600">
            <a:solidFill>
              <a:sysClr val="windowText" lastClr="000000"/>
            </a:solidFill>
          </a:endParaRPr>
        </a:p>
        <a:p>
          <a:r>
            <a:rPr lang="en-US" sz="1600">
              <a:solidFill>
                <a:sysClr val="windowText" lastClr="000000"/>
              </a:solidFill>
            </a:rPr>
            <a:t>                            PLL0DV[PREDIV]</a:t>
          </a:r>
        </a:p>
        <a:p>
          <a:endParaRPr lang="en-US" sz="1600"/>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                   	       f</a:t>
          </a:r>
          <a:r>
            <a:rPr lang="en-US" sz="1600" baseline="-25000">
              <a:solidFill>
                <a:schemeClr val="dk1"/>
              </a:solidFill>
              <a:latin typeface="+mn-lt"/>
              <a:ea typeface="+mn-ea"/>
              <a:cs typeface="+mn-cs"/>
            </a:rPr>
            <a:t>pll0_ref</a:t>
          </a:r>
          <a:r>
            <a:rPr lang="en-US" sz="1600">
              <a:solidFill>
                <a:schemeClr val="dk1"/>
              </a:solidFill>
              <a:latin typeface="+mn-lt"/>
              <a:ea typeface="+mn-ea"/>
              <a:cs typeface="+mn-cs"/>
            </a:rPr>
            <a:t>  × PLL0DV[MFD]</a:t>
          </a:r>
          <a:endParaRPr lang="en-US" sz="16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f</a:t>
          </a:r>
          <a:r>
            <a:rPr lang="en-US" sz="1600" baseline="-25000">
              <a:solidFill>
                <a:schemeClr val="dk1"/>
              </a:solidFill>
              <a:latin typeface="+mn-lt"/>
              <a:ea typeface="+mn-ea"/>
              <a:cs typeface="+mn-cs"/>
            </a:rPr>
            <a:t>pll0_phi</a:t>
          </a:r>
          <a:r>
            <a:rPr lang="en-US" sz="1600">
              <a:solidFill>
                <a:schemeClr val="dk1"/>
              </a:solidFill>
              <a:latin typeface="+mn-lt"/>
              <a:ea typeface="+mn-ea"/>
              <a:cs typeface="+mn-cs"/>
            </a:rPr>
            <a:t> =   ------------------------------------------------------</a:t>
          </a:r>
        </a:p>
        <a:p>
          <a:pPr marL="0" marR="0" indent="0" defTabSz="914400" eaLnBrk="1" fontAlgn="auto" latinLnBrk="0" hangingPunct="1">
            <a:lnSpc>
              <a:spcPct val="100000"/>
            </a:lnSpc>
            <a:spcBef>
              <a:spcPts val="0"/>
            </a:spcBef>
            <a:spcAft>
              <a:spcPts val="0"/>
            </a:spcAft>
            <a:buClrTx/>
            <a:buSzTx/>
            <a:buFontTx/>
            <a:buNone/>
            <a:tabLst/>
            <a:defRPr/>
          </a:pPr>
          <a:r>
            <a:rPr lang="en-US" sz="1600"/>
            <a:t>                       </a:t>
          </a:r>
          <a:r>
            <a:rPr lang="en-US" sz="1600">
              <a:solidFill>
                <a:schemeClr val="dk1"/>
              </a:solidFill>
              <a:latin typeface="+mn-lt"/>
              <a:ea typeface="+mn-ea"/>
              <a:cs typeface="+mn-cs"/>
            </a:rPr>
            <a:t>PLL0DV[PREDIV]</a:t>
          </a:r>
          <a:r>
            <a:rPr lang="en-US" sz="1600"/>
            <a:t> </a:t>
          </a:r>
          <a:r>
            <a:rPr lang="en-US" sz="1600">
              <a:solidFill>
                <a:schemeClr val="dk1"/>
              </a:solidFill>
              <a:latin typeface="+mn-lt"/>
              <a:ea typeface="+mn-ea"/>
              <a:cs typeface="+mn-cs"/>
            </a:rPr>
            <a:t>×</a:t>
          </a:r>
          <a:r>
            <a:rPr lang="en-US" sz="1600"/>
            <a:t> PLL0DV[RFDPHI] </a:t>
          </a:r>
        </a:p>
        <a:p>
          <a:endParaRPr lang="en-U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595312</xdr:colOff>
      <xdr:row>1</xdr:row>
      <xdr:rowOff>178594</xdr:rowOff>
    </xdr:from>
    <xdr:to>
      <xdr:col>11</xdr:col>
      <xdr:colOff>285750</xdr:colOff>
      <xdr:row>12</xdr:row>
      <xdr:rowOff>95249</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02531" y="1297782"/>
          <a:ext cx="5155407" cy="20121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                       f</a:t>
          </a:r>
          <a:r>
            <a:rPr lang="en-US" sz="1600" baseline="-25000"/>
            <a:t>pll0_ref</a:t>
          </a:r>
          <a:r>
            <a:rPr lang="en-US" sz="1600"/>
            <a:t>  × </a:t>
          </a:r>
          <a:r>
            <a:rPr lang="en-US" sz="1600">
              <a:solidFill>
                <a:schemeClr val="dk1"/>
              </a:solidFill>
              <a:latin typeface="+mn-lt"/>
              <a:ea typeface="+mn-ea"/>
              <a:cs typeface="+mn-cs"/>
            </a:rPr>
            <a:t>PLL0DV[MFD] </a:t>
          </a:r>
          <a:r>
            <a:rPr lang="en-US" sz="1100">
              <a:solidFill>
                <a:schemeClr val="dk1"/>
              </a:solidFill>
              <a:latin typeface="+mn-lt"/>
              <a:ea typeface="+mn-ea"/>
              <a:cs typeface="+mn-cs"/>
            </a:rPr>
            <a:t>×</a:t>
          </a:r>
          <a:r>
            <a:rPr lang="en-US" sz="1600">
              <a:solidFill>
                <a:schemeClr val="dk1"/>
              </a:solidFill>
              <a:latin typeface="+mn-lt"/>
              <a:ea typeface="+mn-ea"/>
              <a:cs typeface="+mn-cs"/>
            </a:rPr>
            <a:t> 2 </a:t>
          </a:r>
        </a:p>
        <a:p>
          <a:r>
            <a:rPr lang="en-US" sz="1600">
              <a:solidFill>
                <a:schemeClr val="dk1"/>
              </a:solidFill>
              <a:latin typeface="+mn-lt"/>
              <a:ea typeface="+mn-ea"/>
              <a:cs typeface="+mn-cs"/>
            </a:rPr>
            <a:t>f</a:t>
          </a:r>
          <a:r>
            <a:rPr lang="en-US" sz="1600" baseline="-25000">
              <a:solidFill>
                <a:schemeClr val="dk1"/>
              </a:solidFill>
              <a:latin typeface="+mn-lt"/>
              <a:ea typeface="+mn-ea"/>
              <a:cs typeface="+mn-cs"/>
            </a:rPr>
            <a:t>pll0_VCO</a:t>
          </a:r>
          <a:r>
            <a:rPr lang="en-US" sz="1600">
              <a:solidFill>
                <a:schemeClr val="dk1"/>
              </a:solidFill>
              <a:latin typeface="+mn-lt"/>
              <a:ea typeface="+mn-ea"/>
              <a:cs typeface="+mn-cs"/>
            </a:rPr>
            <a:t> = </a:t>
          </a:r>
          <a:r>
            <a:rPr lang="en-US" sz="1600" baseline="0">
              <a:solidFill>
                <a:schemeClr val="dk1"/>
              </a:solidFill>
              <a:latin typeface="+mn-lt"/>
              <a:ea typeface="+mn-ea"/>
              <a:cs typeface="+mn-cs"/>
            </a:rPr>
            <a:t>   </a:t>
          </a:r>
          <a:r>
            <a:rPr lang="en-US" sz="1600">
              <a:solidFill>
                <a:schemeClr val="dk1"/>
              </a:solidFill>
              <a:latin typeface="+mn-lt"/>
              <a:ea typeface="+mn-ea"/>
              <a:cs typeface="+mn-cs"/>
            </a:rPr>
            <a:t>-------------------------------------</a:t>
          </a:r>
          <a:endParaRPr lang="en-US" sz="1600"/>
        </a:p>
        <a:p>
          <a:r>
            <a:rPr lang="en-US" sz="1600"/>
            <a:t>                            PLL0DV[PREDIV]</a:t>
          </a:r>
        </a:p>
        <a:p>
          <a:endParaRPr lang="en-US" sz="1600"/>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                            f</a:t>
          </a:r>
          <a:r>
            <a:rPr lang="en-US" sz="1600" baseline="-25000">
              <a:solidFill>
                <a:schemeClr val="dk1"/>
              </a:solidFill>
              <a:latin typeface="+mn-lt"/>
              <a:ea typeface="+mn-ea"/>
              <a:cs typeface="+mn-cs"/>
            </a:rPr>
            <a:t>pll0_ref</a:t>
          </a:r>
          <a:r>
            <a:rPr lang="en-US" sz="1600">
              <a:solidFill>
                <a:schemeClr val="dk1"/>
              </a:solidFill>
              <a:latin typeface="+mn-lt"/>
              <a:ea typeface="+mn-ea"/>
              <a:cs typeface="+mn-cs"/>
            </a:rPr>
            <a:t>  × PLL0DV[MFD]</a:t>
          </a:r>
          <a:endParaRPr lang="en-US" sz="16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f</a:t>
          </a:r>
          <a:r>
            <a:rPr lang="en-US" sz="1600" baseline="-25000">
              <a:solidFill>
                <a:schemeClr val="dk1"/>
              </a:solidFill>
              <a:latin typeface="+mn-lt"/>
              <a:ea typeface="+mn-ea"/>
              <a:cs typeface="+mn-cs"/>
            </a:rPr>
            <a:t>pll0_phi1</a:t>
          </a:r>
          <a:r>
            <a:rPr lang="en-US" sz="1600">
              <a:solidFill>
                <a:schemeClr val="dk1"/>
              </a:solidFill>
              <a:latin typeface="+mn-lt"/>
              <a:ea typeface="+mn-ea"/>
              <a:cs typeface="+mn-cs"/>
            </a:rPr>
            <a:t> =   -------------------------------------------------------</a:t>
          </a:r>
        </a:p>
        <a:p>
          <a:pPr marL="0" marR="0" indent="0" defTabSz="914400" eaLnBrk="1" fontAlgn="auto" latinLnBrk="0" hangingPunct="1">
            <a:lnSpc>
              <a:spcPct val="100000"/>
            </a:lnSpc>
            <a:spcBef>
              <a:spcPts val="0"/>
            </a:spcBef>
            <a:spcAft>
              <a:spcPts val="0"/>
            </a:spcAft>
            <a:buClrTx/>
            <a:buSzTx/>
            <a:buFontTx/>
            <a:buNone/>
            <a:tabLst/>
            <a:defRPr/>
          </a:pPr>
          <a:r>
            <a:rPr lang="en-US" sz="1600"/>
            <a:t>                    </a:t>
          </a:r>
          <a:r>
            <a:rPr lang="en-US" sz="1600">
              <a:solidFill>
                <a:schemeClr val="dk1"/>
              </a:solidFill>
              <a:latin typeface="+mn-lt"/>
              <a:ea typeface="+mn-ea"/>
              <a:cs typeface="+mn-cs"/>
            </a:rPr>
            <a:t>PLL0DV[PREDIV]</a:t>
          </a:r>
          <a:r>
            <a:rPr lang="en-US" sz="1600"/>
            <a:t> </a:t>
          </a:r>
          <a:r>
            <a:rPr lang="en-US" sz="1600">
              <a:solidFill>
                <a:schemeClr val="dk1"/>
              </a:solidFill>
              <a:latin typeface="+mn-lt"/>
              <a:ea typeface="+mn-ea"/>
              <a:cs typeface="+mn-cs"/>
            </a:rPr>
            <a:t>×</a:t>
          </a:r>
          <a:r>
            <a:rPr lang="en-US" sz="1600"/>
            <a:t> PLL0DV[RFDPHI1]</a:t>
          </a:r>
        </a:p>
        <a:p>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0</xdr:col>
      <xdr:colOff>489439</xdr:colOff>
      <xdr:row>9</xdr:row>
      <xdr:rowOff>139944</xdr:rowOff>
    </xdr:from>
    <xdr:ext cx="847725" cy="266700"/>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700-000002000000}"/>
            </a:ext>
          </a:extLst>
        </xdr:cNvPr>
        <xdr:cNvSpPr txBox="1"/>
      </xdr:nvSpPr>
      <xdr:spPr>
        <a:xfrm>
          <a:off x="489439" y="1854444"/>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PLL1 Input</a:t>
          </a:r>
        </a:p>
      </xdr:txBody>
    </xdr:sp>
    <xdr:clientData/>
  </xdr:oneCellAnchor>
  <xdr:twoCellAnchor>
    <xdr:from>
      <xdr:col>3</xdr:col>
      <xdr:colOff>7327</xdr:colOff>
      <xdr:row>10</xdr:row>
      <xdr:rowOff>104775</xdr:rowOff>
    </xdr:from>
    <xdr:to>
      <xdr:col>5</xdr:col>
      <xdr:colOff>386799</xdr:colOff>
      <xdr:row>10</xdr:row>
      <xdr:rowOff>104775</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a:off x="1831731" y="2009775"/>
          <a:ext cx="1595741"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400050</xdr:colOff>
      <xdr:row>8</xdr:row>
      <xdr:rowOff>9525</xdr:rowOff>
    </xdr:from>
    <xdr:to>
      <xdr:col>7</xdr:col>
      <xdr:colOff>189202</xdr:colOff>
      <xdr:row>11</xdr:row>
      <xdr:rowOff>177709</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448050" y="1533525"/>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Multiplier</a:t>
          </a:r>
        </a:p>
        <a:p>
          <a:pPr algn="ctr"/>
          <a:r>
            <a:rPr lang="en-US" sz="1100"/>
            <a:t>*16...34</a:t>
          </a:r>
        </a:p>
        <a:p>
          <a:pPr algn="ctr"/>
          <a:r>
            <a:rPr lang="en-US" sz="900"/>
            <a:t>PLLDIG_PLL1DV[MFD]</a:t>
          </a:r>
        </a:p>
      </xdr:txBody>
    </xdr:sp>
    <xdr:clientData/>
  </xdr:twoCellAnchor>
  <xdr:twoCellAnchor>
    <xdr:from>
      <xdr:col>7</xdr:col>
      <xdr:colOff>189202</xdr:colOff>
      <xdr:row>9</xdr:row>
      <xdr:rowOff>188595</xdr:rowOff>
    </xdr:from>
    <xdr:to>
      <xdr:col>9</xdr:col>
      <xdr:colOff>396031</xdr:colOff>
      <xdr:row>9</xdr:row>
      <xdr:rowOff>188867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4" idx="3"/>
          <a:endCxn id="7" idx="1"/>
        </xdr:cNvCxnSpPr>
      </xdr:nvCxnSpPr>
      <xdr:spPr>
        <a:xfrm flipV="1">
          <a:off x="4456402" y="1903095"/>
          <a:ext cx="1426029" cy="272"/>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396031</xdr:colOff>
      <xdr:row>8</xdr:row>
      <xdr:rowOff>9253</xdr:rowOff>
    </xdr:from>
    <xdr:to>
      <xdr:col>11</xdr:col>
      <xdr:colOff>185183</xdr:colOff>
      <xdr:row>11</xdr:row>
      <xdr:rowOff>177437</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5882431" y="1533253"/>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FDEN</a:t>
          </a:r>
          <a:r>
            <a:rPr lang="en-US" sz="1100" baseline="0"/>
            <a:t> (Fractional Divide Enable)</a:t>
          </a:r>
          <a:endParaRPr lang="en-US" sz="1100"/>
        </a:p>
      </xdr:txBody>
    </xdr:sp>
    <xdr:clientData/>
  </xdr:twoCellAnchor>
  <xdr:oneCellAnchor>
    <xdr:from>
      <xdr:col>8</xdr:col>
      <xdr:colOff>82061</xdr:colOff>
      <xdr:row>1</xdr:row>
      <xdr:rowOff>164960</xdr:rowOff>
    </xdr:from>
    <xdr:ext cx="4226176" cy="895348"/>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4947138" y="355460"/>
          <a:ext cx="42261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PLL1 Setup</a:t>
          </a:r>
        </a:p>
      </xdr:txBody>
    </xdr:sp>
    <xdr:clientData/>
  </xdr:oneCellAnchor>
  <xdr:twoCellAnchor>
    <xdr:from>
      <xdr:col>11</xdr:col>
      <xdr:colOff>185183</xdr:colOff>
      <xdr:row>9</xdr:row>
      <xdr:rowOff>188595</xdr:rowOff>
    </xdr:from>
    <xdr:to>
      <xdr:col>13</xdr:col>
      <xdr:colOff>396029</xdr:colOff>
      <xdr:row>9</xdr:row>
      <xdr:rowOff>188595</xdr:rowOff>
    </xdr:to>
    <xdr:cxnSp macro="">
      <xdr:nvCxnSpPr>
        <xdr:cNvPr id="10" name="Straight Arrow Connector 9">
          <a:extLst>
            <a:ext uri="{FF2B5EF4-FFF2-40B4-BE49-F238E27FC236}">
              <a16:creationId xmlns:a16="http://schemas.microsoft.com/office/drawing/2014/main" id="{00000000-0008-0000-0700-00000A000000}"/>
            </a:ext>
          </a:extLst>
        </xdr:cNvPr>
        <xdr:cNvCxnSpPr>
          <a:stCxn id="7" idx="3"/>
          <a:endCxn id="13" idx="1"/>
        </xdr:cNvCxnSpPr>
      </xdr:nvCxnSpPr>
      <xdr:spPr>
        <a:xfrm>
          <a:off x="6890783" y="1903095"/>
          <a:ext cx="143004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396029</xdr:colOff>
      <xdr:row>8</xdr:row>
      <xdr:rowOff>9253</xdr:rowOff>
    </xdr:from>
    <xdr:to>
      <xdr:col>15</xdr:col>
      <xdr:colOff>185181</xdr:colOff>
      <xdr:row>11</xdr:row>
      <xdr:rowOff>177437</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8320829" y="1533253"/>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t>FRCDIV (Fractional Numerator)</a:t>
          </a:r>
        </a:p>
        <a:p>
          <a:pPr algn="ctr"/>
          <a:r>
            <a:rPr lang="en-US" sz="900"/>
            <a:t>0,1,...,4095</a:t>
          </a:r>
        </a:p>
      </xdr:txBody>
    </xdr:sp>
    <xdr:clientData/>
  </xdr:twoCellAnchor>
  <xdr:twoCellAnchor>
    <xdr:from>
      <xdr:col>15</xdr:col>
      <xdr:colOff>185181</xdr:colOff>
      <xdr:row>9</xdr:row>
      <xdr:rowOff>206912</xdr:rowOff>
    </xdr:from>
    <xdr:to>
      <xdr:col>17</xdr:col>
      <xdr:colOff>385382</xdr:colOff>
      <xdr:row>9</xdr:row>
      <xdr:rowOff>207184</xdr:rowOff>
    </xdr:to>
    <xdr:cxnSp macro="">
      <xdr:nvCxnSpPr>
        <xdr:cNvPr id="15" name="Straight Arrow Connector 14">
          <a:extLst>
            <a:ext uri="{FF2B5EF4-FFF2-40B4-BE49-F238E27FC236}">
              <a16:creationId xmlns:a16="http://schemas.microsoft.com/office/drawing/2014/main" id="{00000000-0008-0000-0700-00000F000000}"/>
            </a:ext>
          </a:extLst>
        </xdr:cNvPr>
        <xdr:cNvCxnSpPr>
          <a:stCxn id="13" idx="3"/>
          <a:endCxn id="18" idx="1"/>
        </xdr:cNvCxnSpPr>
      </xdr:nvCxnSpPr>
      <xdr:spPr>
        <a:xfrm>
          <a:off x="9307200" y="1928739"/>
          <a:ext cx="1416470" cy="272"/>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385382</xdr:colOff>
      <xdr:row>8</xdr:row>
      <xdr:rowOff>9525</xdr:rowOff>
    </xdr:from>
    <xdr:to>
      <xdr:col>19</xdr:col>
      <xdr:colOff>174533</xdr:colOff>
      <xdr:row>11</xdr:row>
      <xdr:rowOff>177709</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10723670" y="1533525"/>
          <a:ext cx="1005421" cy="7909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RFDPHI</a:t>
          </a:r>
        </a:p>
        <a:p>
          <a:pPr algn="ctr"/>
          <a:r>
            <a:rPr lang="en-US" sz="1100"/>
            <a:t>/1...63</a:t>
          </a:r>
        </a:p>
        <a:p>
          <a:pPr algn="ctr"/>
          <a:r>
            <a:rPr lang="en-US" sz="900"/>
            <a:t>PLLDIG_PLL1DV[RFDPHI]</a:t>
          </a:r>
        </a:p>
      </xdr:txBody>
    </xdr:sp>
    <xdr:clientData/>
  </xdr:twoCellAnchor>
  <xdr:twoCellAnchor>
    <xdr:from>
      <xdr:col>19</xdr:col>
      <xdr:colOff>179975</xdr:colOff>
      <xdr:row>10</xdr:row>
      <xdr:rowOff>13859</xdr:rowOff>
    </xdr:from>
    <xdr:to>
      <xdr:col>21</xdr:col>
      <xdr:colOff>578827</xdr:colOff>
      <xdr:row>10</xdr:row>
      <xdr:rowOff>13859</xdr:rowOff>
    </xdr:to>
    <xdr:cxnSp macro="">
      <xdr:nvCxnSpPr>
        <xdr:cNvPr id="21" name="Straight Arrow Connector 20">
          <a:extLst>
            <a:ext uri="{FF2B5EF4-FFF2-40B4-BE49-F238E27FC236}">
              <a16:creationId xmlns:a16="http://schemas.microsoft.com/office/drawing/2014/main" id="{00000000-0008-0000-0700-000015000000}"/>
            </a:ext>
          </a:extLst>
        </xdr:cNvPr>
        <xdr:cNvCxnSpPr/>
      </xdr:nvCxnSpPr>
      <xdr:spPr>
        <a:xfrm>
          <a:off x="11734533" y="1948167"/>
          <a:ext cx="1615121"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24</xdr:col>
      <xdr:colOff>473953</xdr:colOff>
      <xdr:row>8</xdr:row>
      <xdr:rowOff>156476</xdr:rowOff>
    </xdr:from>
    <xdr:ext cx="847725" cy="266700"/>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15069184" y="1680476"/>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PLL1 PHI</a:t>
          </a:r>
        </a:p>
      </xdr:txBody>
    </xdr:sp>
    <xdr:clientData/>
  </xdr:oneCellAnchor>
  <xdr:twoCellAnchor>
    <xdr:from>
      <xdr:col>2</xdr:col>
      <xdr:colOff>388327</xdr:colOff>
      <xdr:row>15</xdr:row>
      <xdr:rowOff>168519</xdr:rowOff>
    </xdr:from>
    <xdr:to>
      <xdr:col>4</xdr:col>
      <xdr:colOff>173136</xdr:colOff>
      <xdr:row>19</xdr:row>
      <xdr:rowOff>166288</xdr:rowOff>
    </xdr:to>
    <xdr:sp macro="" textlink="">
      <xdr:nvSpPr>
        <xdr:cNvPr id="16" name="Rectangle 15">
          <a:extLst>
            <a:ext uri="{FF2B5EF4-FFF2-40B4-BE49-F238E27FC236}">
              <a16:creationId xmlns:a16="http://schemas.microsoft.com/office/drawing/2014/main" id="{00000000-0008-0000-0700-000010000000}"/>
            </a:ext>
          </a:extLst>
        </xdr:cNvPr>
        <xdr:cNvSpPr/>
      </xdr:nvSpPr>
      <xdr:spPr>
        <a:xfrm>
          <a:off x="1604596" y="3026019"/>
          <a:ext cx="1001078" cy="7597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PLL1</a:t>
          </a:r>
          <a:r>
            <a:rPr lang="en-US" sz="1100" baseline="0"/>
            <a:t> Mode Control</a:t>
          </a:r>
        </a:p>
        <a:p>
          <a:pPr algn="ctr"/>
          <a:r>
            <a:rPr lang="en-US" sz="800"/>
            <a:t>MC_ME_&lt;MODE&gt;_MC[PLL1ON]</a:t>
          </a:r>
        </a:p>
      </xdr:txBody>
    </xdr:sp>
    <xdr:clientData/>
  </xdr:twoCellAnchor>
  <xdr:oneCellAnchor>
    <xdr:from>
      <xdr:col>2</xdr:col>
      <xdr:colOff>556847</xdr:colOff>
      <xdr:row>21</xdr:row>
      <xdr:rowOff>21980</xdr:rowOff>
    </xdr:from>
    <xdr:ext cx="876300" cy="342900"/>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1773116" y="4051788"/>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PLL1 Off</a:t>
          </a:r>
        </a:p>
        <a:p>
          <a:r>
            <a:rPr lang="en-US" sz="800"/>
            <a:t>1 - PLL1</a:t>
          </a:r>
          <a:r>
            <a:rPr lang="en-US" sz="800" baseline="0"/>
            <a:t> On</a:t>
          </a:r>
          <a:endParaRPr lang="en-US" sz="800"/>
        </a:p>
      </xdr:txBody>
    </xdr:sp>
    <xdr:clientData/>
  </xdr:oneCellAnchor>
  <xdr:twoCellAnchor>
    <xdr:from>
      <xdr:col>3</xdr:col>
      <xdr:colOff>205155</xdr:colOff>
      <xdr:row>10</xdr:row>
      <xdr:rowOff>102577</xdr:rowOff>
    </xdr:from>
    <xdr:to>
      <xdr:col>3</xdr:col>
      <xdr:colOff>205156</xdr:colOff>
      <xdr:row>15</xdr:row>
      <xdr:rowOff>176581</xdr:rowOff>
    </xdr:to>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flipH="1" flipV="1">
          <a:off x="2029559" y="2007577"/>
          <a:ext cx="1" cy="1026504"/>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0</xdr:colOff>
      <xdr:row>9</xdr:row>
      <xdr:rowOff>73270</xdr:rowOff>
    </xdr:from>
    <xdr:to>
      <xdr:col>22</xdr:col>
      <xdr:colOff>606711</xdr:colOff>
      <xdr:row>10</xdr:row>
      <xdr:rowOff>71482</xdr:rowOff>
    </xdr:to>
    <xdr:sp macro="" textlink="">
      <xdr:nvSpPr>
        <xdr:cNvPr id="20" name="Rectangle 19">
          <a:extLst>
            <a:ext uri="{FF2B5EF4-FFF2-40B4-BE49-F238E27FC236}">
              <a16:creationId xmlns:a16="http://schemas.microsoft.com/office/drawing/2014/main" id="{00000000-0008-0000-0700-000014000000}"/>
            </a:ext>
          </a:extLst>
        </xdr:cNvPr>
        <xdr:cNvSpPr/>
      </xdr:nvSpPr>
      <xdr:spPr>
        <a:xfrm>
          <a:off x="13378962" y="1795097"/>
          <a:ext cx="606711" cy="2106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23</xdr:col>
      <xdr:colOff>14655</xdr:colOff>
      <xdr:row>9</xdr:row>
      <xdr:rowOff>139212</xdr:rowOff>
    </xdr:from>
    <xdr:to>
      <xdr:col>24</xdr:col>
      <xdr:colOff>0</xdr:colOff>
      <xdr:row>9</xdr:row>
      <xdr:rowOff>139212</xdr:rowOff>
    </xdr:to>
    <xdr:cxnSp macro="">
      <xdr:nvCxnSpPr>
        <xdr:cNvPr id="22" name="Straight Arrow Connector 21">
          <a:extLst>
            <a:ext uri="{FF2B5EF4-FFF2-40B4-BE49-F238E27FC236}">
              <a16:creationId xmlns:a16="http://schemas.microsoft.com/office/drawing/2014/main" id="{00000000-0008-0000-0700-000016000000}"/>
            </a:ext>
          </a:extLst>
        </xdr:cNvPr>
        <xdr:cNvCxnSpPr/>
      </xdr:nvCxnSpPr>
      <xdr:spPr>
        <a:xfrm>
          <a:off x="14001751" y="1861039"/>
          <a:ext cx="59348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11903</xdr:colOff>
      <xdr:row>1</xdr:row>
      <xdr:rowOff>23813</xdr:rowOff>
    </xdr:from>
    <xdr:to>
      <xdr:col>14</xdr:col>
      <xdr:colOff>369094</xdr:colOff>
      <xdr:row>8</xdr:row>
      <xdr:rowOff>59532</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178841" y="1381126"/>
          <a:ext cx="7036597" cy="1369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a:t>f</a:t>
          </a:r>
          <a:r>
            <a:rPr lang="en-US" sz="1600" baseline="-25000"/>
            <a:t>pll1_VCO</a:t>
          </a:r>
          <a:r>
            <a:rPr lang="en-US" sz="1600"/>
            <a:t> = f</a:t>
          </a:r>
          <a:r>
            <a:rPr lang="en-US" sz="1600" baseline="-25000"/>
            <a:t>pll1_ref</a:t>
          </a:r>
          <a:r>
            <a:rPr lang="en-US" sz="1600"/>
            <a:t>  × </a:t>
          </a:r>
          <a:r>
            <a:rPr lang="en-US" sz="1600">
              <a:solidFill>
                <a:schemeClr val="dk1"/>
              </a:solidFill>
              <a:latin typeface="+mn-lt"/>
              <a:ea typeface="+mn-ea"/>
              <a:cs typeface="+mn-cs"/>
            </a:rPr>
            <a:t>{ PLL1DV[MFD] + ( PLL1FD[FRCDIV] / 2</a:t>
          </a:r>
          <a:r>
            <a:rPr lang="en-US" sz="1600" baseline="30000">
              <a:solidFill>
                <a:schemeClr val="dk1"/>
              </a:solidFill>
              <a:latin typeface="+mn-lt"/>
              <a:ea typeface="+mn-ea"/>
              <a:cs typeface="+mn-cs"/>
            </a:rPr>
            <a:t>12 </a:t>
          </a:r>
          <a:r>
            <a:rPr lang="en-US" sz="1600" baseline="0">
              <a:solidFill>
                <a:schemeClr val="dk1"/>
              </a:solidFill>
              <a:latin typeface="+mn-lt"/>
              <a:ea typeface="+mn-ea"/>
              <a:cs typeface="+mn-cs"/>
            </a:rPr>
            <a:t>) }</a:t>
          </a:r>
          <a:endParaRPr lang="en-US" sz="1600"/>
        </a:p>
        <a:p>
          <a:endParaRPr lang="en-US" sz="1600"/>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                  f</a:t>
          </a:r>
          <a:r>
            <a:rPr lang="en-US" sz="1600" baseline="-25000">
              <a:solidFill>
                <a:schemeClr val="dk1"/>
              </a:solidFill>
              <a:latin typeface="+mn-lt"/>
              <a:ea typeface="+mn-ea"/>
              <a:cs typeface="+mn-cs"/>
            </a:rPr>
            <a:t>pll1_ref</a:t>
          </a:r>
          <a:r>
            <a:rPr lang="en-US" sz="1600">
              <a:solidFill>
                <a:schemeClr val="dk1"/>
              </a:solidFill>
              <a:latin typeface="+mn-lt"/>
              <a:ea typeface="+mn-ea"/>
              <a:cs typeface="+mn-cs"/>
            </a:rPr>
            <a:t>  × { PLL1DV[MFD] + ( PLL1FD[FRCDIV] / 2</a:t>
          </a:r>
          <a:r>
            <a:rPr lang="en-US" sz="1600" baseline="30000">
              <a:solidFill>
                <a:schemeClr val="dk1"/>
              </a:solidFill>
              <a:latin typeface="+mn-lt"/>
              <a:ea typeface="+mn-ea"/>
              <a:cs typeface="+mn-cs"/>
            </a:rPr>
            <a:t>12 </a:t>
          </a:r>
          <a:r>
            <a:rPr lang="en-US" sz="1600" baseline="0">
              <a:solidFill>
                <a:schemeClr val="dk1"/>
              </a:solidFill>
              <a:latin typeface="+mn-lt"/>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latin typeface="+mn-lt"/>
              <a:ea typeface="+mn-ea"/>
              <a:cs typeface="+mn-cs"/>
            </a:rPr>
            <a:t>f</a:t>
          </a:r>
          <a:r>
            <a:rPr lang="en-US" sz="1600" baseline="-25000">
              <a:solidFill>
                <a:schemeClr val="dk1"/>
              </a:solidFill>
              <a:latin typeface="+mn-lt"/>
              <a:ea typeface="+mn-ea"/>
              <a:cs typeface="+mn-cs"/>
            </a:rPr>
            <a:t>pll1_phi</a:t>
          </a:r>
          <a:r>
            <a:rPr lang="en-US" sz="1600">
              <a:solidFill>
                <a:schemeClr val="dk1"/>
              </a:solidFill>
              <a:latin typeface="+mn-lt"/>
              <a:ea typeface="+mn-ea"/>
              <a:cs typeface="+mn-cs"/>
            </a:rPr>
            <a:t> =   ---------------------------------------------------------------------</a:t>
          </a:r>
        </a:p>
        <a:p>
          <a:pPr marL="0" marR="0" indent="0" defTabSz="914400" eaLnBrk="1" fontAlgn="auto" latinLnBrk="0" hangingPunct="1">
            <a:lnSpc>
              <a:spcPct val="100000"/>
            </a:lnSpc>
            <a:spcBef>
              <a:spcPts val="0"/>
            </a:spcBef>
            <a:spcAft>
              <a:spcPts val="0"/>
            </a:spcAft>
            <a:buClrTx/>
            <a:buSzTx/>
            <a:buFontTx/>
            <a:buNone/>
            <a:tabLst/>
            <a:defRPr/>
          </a:pPr>
          <a:r>
            <a:rPr lang="en-US" sz="1600"/>
            <a:t>                                           2</a:t>
          </a:r>
          <a:r>
            <a:rPr lang="en-US" sz="1600" baseline="0"/>
            <a:t> x </a:t>
          </a:r>
          <a:r>
            <a:rPr lang="en-US" sz="1600"/>
            <a:t>PLL1DV[RFDPHI]</a:t>
          </a:r>
        </a:p>
        <a:p>
          <a:endParaRPr lang="en-US" sz="1600"/>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1</xdr:col>
      <xdr:colOff>590550</xdr:colOff>
      <xdr:row>1</xdr:row>
      <xdr:rowOff>9525</xdr:rowOff>
    </xdr:from>
    <xdr:ext cx="5791200" cy="895348"/>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00150" y="200025"/>
          <a:ext cx="5791200"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MPC574xP</a:t>
          </a:r>
          <a:r>
            <a:rPr lang="en-US" sz="2800" b="1" baseline="0"/>
            <a:t> </a:t>
          </a:r>
          <a:r>
            <a:rPr lang="en-US" sz="2800" b="1"/>
            <a:t>Summary</a:t>
          </a:r>
        </a:p>
      </xdr:txBody>
    </xdr:sp>
    <xdr:clientData/>
  </xdr:oneCellAnchor>
  <xdr:oneCellAnchor>
    <xdr:from>
      <xdr:col>0</xdr:col>
      <xdr:colOff>838200</xdr:colOff>
      <xdr:row>3</xdr:row>
      <xdr:rowOff>171450</xdr:rowOff>
    </xdr:from>
    <xdr:ext cx="2990850" cy="457201"/>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838200" y="74295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Register Summary</a:t>
          </a:r>
        </a:p>
      </xdr:txBody>
    </xdr:sp>
    <xdr:clientData/>
  </xdr:oneCellAnchor>
  <xdr:oneCellAnchor>
    <xdr:from>
      <xdr:col>6</xdr:col>
      <xdr:colOff>476250</xdr:colOff>
      <xdr:row>3</xdr:row>
      <xdr:rowOff>142875</xdr:rowOff>
    </xdr:from>
    <xdr:ext cx="2990850" cy="457201"/>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705725" y="714375"/>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Clock Summary</a:t>
          </a:r>
        </a:p>
      </xdr:txBody>
    </xdr:sp>
    <xdr:clientData/>
  </xdr:oneCellAnchor>
  <xdr:oneCellAnchor>
    <xdr:from>
      <xdr:col>11</xdr:col>
      <xdr:colOff>85725</xdr:colOff>
      <xdr:row>3</xdr:row>
      <xdr:rowOff>76200</xdr:rowOff>
    </xdr:from>
    <xdr:ext cx="2990850" cy="457201"/>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2611100" y="64770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Sample Initialization Code</a:t>
          </a:r>
        </a:p>
      </xdr:txBody>
    </xdr:sp>
    <xdr:clientData/>
  </xdr:oneCellAnchor>
  <mc:AlternateContent xmlns:mc="http://schemas.openxmlformats.org/markup-compatibility/2006">
    <mc:Choice xmlns:a14="http://schemas.microsoft.com/office/drawing/2010/main" Requires="a14">
      <xdr:twoCellAnchor>
        <xdr:from>
          <xdr:col>16</xdr:col>
          <xdr:colOff>403860</xdr:colOff>
          <xdr:row>4</xdr:row>
          <xdr:rowOff>45720</xdr:rowOff>
        </xdr:from>
        <xdr:to>
          <xdr:col>18</xdr:col>
          <xdr:colOff>106680</xdr:colOff>
          <xdr:row>5</xdr:row>
          <xdr:rowOff>106680</xdr:rowOff>
        </xdr:to>
        <xdr:sp macro="" textlink="">
          <xdr:nvSpPr>
            <xdr:cNvPr id="10241" name="Button_CopyClock"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464820</xdr:colOff>
          <xdr:row>38</xdr:row>
          <xdr:rowOff>60960</xdr:rowOff>
        </xdr:from>
        <xdr:to>
          <xdr:col>18</xdr:col>
          <xdr:colOff>175260</xdr:colOff>
          <xdr:row>39</xdr:row>
          <xdr:rowOff>182880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Copy Code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19050">
          <a:tailEnd type="arrow"/>
        </a:ln>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H278"/>
  <sheetViews>
    <sheetView tabSelected="1" zoomScale="80" zoomScaleNormal="80" workbookViewId="0">
      <selection activeCell="P9" sqref="P9"/>
    </sheetView>
  </sheetViews>
  <sheetFormatPr baseColWidth="10" defaultColWidth="8.88671875" defaultRowHeight="14.4" x14ac:dyDescent="0.3"/>
  <cols>
    <col min="1" max="1" width="9.109375" customWidth="1"/>
    <col min="5" max="5" width="9.109375" customWidth="1"/>
    <col min="22" max="22" width="9.6640625" customWidth="1"/>
    <col min="23" max="23" width="9.88671875" bestFit="1" customWidth="1"/>
    <col min="24" max="24" width="9.33203125" customWidth="1"/>
    <col min="25" max="25" width="8.5546875" customWidth="1"/>
    <col min="31" max="31" width="4.33203125" bestFit="1" customWidth="1"/>
    <col min="32" max="32" width="9.88671875" bestFit="1" customWidth="1"/>
    <col min="33" max="33" width="27.109375" bestFit="1" customWidth="1"/>
    <col min="34" max="34" width="151.5546875" bestFit="1" customWidth="1"/>
  </cols>
  <sheetData>
    <row r="1" spans="1:34" ht="22.2" thickTop="1" thickBot="1" x14ac:dyDescent="0.35">
      <c r="A1" s="43"/>
      <c r="B1" s="43"/>
      <c r="C1" s="43"/>
      <c r="AE1" s="52" t="s">
        <v>56</v>
      </c>
      <c r="AF1" s="52" t="s">
        <v>57</v>
      </c>
      <c r="AG1" s="52" t="s">
        <v>58</v>
      </c>
      <c r="AH1" s="52" t="s">
        <v>59</v>
      </c>
    </row>
    <row r="2" spans="1:34" ht="22.2" thickTop="1" thickBot="1" x14ac:dyDescent="0.35">
      <c r="A2" s="43"/>
      <c r="B2" s="43"/>
      <c r="C2" s="43"/>
      <c r="AE2" s="51">
        <v>0</v>
      </c>
      <c r="AF2" s="53">
        <v>42682</v>
      </c>
      <c r="AG2" s="51" t="s">
        <v>60</v>
      </c>
      <c r="AH2" s="51" t="s">
        <v>61</v>
      </c>
    </row>
    <row r="3" spans="1:34" ht="20.25" customHeight="1" thickTop="1" thickBot="1" x14ac:dyDescent="0.35">
      <c r="A3" s="45"/>
      <c r="B3" s="45"/>
      <c r="C3" s="37"/>
      <c r="AE3" s="51">
        <v>1</v>
      </c>
      <c r="AF3" s="53">
        <v>42790</v>
      </c>
      <c r="AG3" s="51" t="s">
        <v>60</v>
      </c>
      <c r="AH3" s="58" t="s">
        <v>92</v>
      </c>
    </row>
    <row r="4" spans="1:34" ht="16.5" customHeight="1" thickTop="1" thickBot="1" x14ac:dyDescent="0.35">
      <c r="A4" s="45"/>
      <c r="B4" s="45"/>
      <c r="C4" s="37"/>
      <c r="O4" s="7"/>
      <c r="P4" t="s">
        <v>55</v>
      </c>
      <c r="AE4" s="51">
        <v>2</v>
      </c>
      <c r="AF4" s="53">
        <v>42839</v>
      </c>
      <c r="AG4" s="51" t="s">
        <v>60</v>
      </c>
      <c r="AH4" s="58" t="s">
        <v>166</v>
      </c>
    </row>
    <row r="5" spans="1:34" ht="16.5" customHeight="1" thickTop="1" thickBot="1" x14ac:dyDescent="0.35">
      <c r="A5" s="46"/>
      <c r="B5" s="46"/>
      <c r="C5" s="37"/>
      <c r="AE5" s="51">
        <v>3</v>
      </c>
      <c r="AF5" s="53">
        <v>42859</v>
      </c>
      <c r="AG5" s="51" t="s">
        <v>220</v>
      </c>
      <c r="AH5" s="58" t="s">
        <v>221</v>
      </c>
    </row>
    <row r="6" spans="1:34" ht="17.25" customHeight="1" thickTop="1" thickBot="1" x14ac:dyDescent="0.35">
      <c r="A6" s="46"/>
      <c r="B6" s="46"/>
      <c r="C6" s="44"/>
      <c r="D6" s="28"/>
      <c r="AE6" s="51">
        <v>4</v>
      </c>
      <c r="AF6" s="53">
        <v>42955</v>
      </c>
      <c r="AG6" s="51" t="s">
        <v>60</v>
      </c>
      <c r="AH6" s="58" t="s">
        <v>223</v>
      </c>
    </row>
    <row r="7" spans="1:34" ht="15.6" thickTop="1" thickBot="1" x14ac:dyDescent="0.35">
      <c r="AE7" s="51">
        <v>5</v>
      </c>
      <c r="AF7" s="53">
        <v>43027</v>
      </c>
      <c r="AG7" s="51" t="s">
        <v>60</v>
      </c>
      <c r="AH7" s="58" t="s">
        <v>226</v>
      </c>
    </row>
    <row r="8" spans="1:34" ht="15.6" thickTop="1" thickBot="1" x14ac:dyDescent="0.35">
      <c r="D8" s="49">
        <f>IF(B10=1,B22,0)</f>
        <v>40</v>
      </c>
      <c r="AE8" s="51">
        <v>6</v>
      </c>
      <c r="AF8" s="53">
        <v>43130</v>
      </c>
      <c r="AG8" s="51" t="s">
        <v>60</v>
      </c>
      <c r="AH8" s="58" t="s">
        <v>229</v>
      </c>
    </row>
    <row r="9" spans="1:34" ht="15.6" thickTop="1" thickBot="1" x14ac:dyDescent="0.35"/>
    <row r="10" spans="1:34" ht="15.6" thickTop="1" thickBot="1" x14ac:dyDescent="0.35">
      <c r="B10" s="56">
        <v>1</v>
      </c>
      <c r="AA10" s="25">
        <f>IF(K15=0,E26,IF(K15=1,D8,IF(K15=2,G22,IF(K15=4,G14,0))))</f>
        <v>180</v>
      </c>
    </row>
    <row r="11" spans="1:34" ht="15.6" thickTop="1" thickBot="1" x14ac:dyDescent="0.35"/>
    <row r="12" spans="1:34" ht="15" thickBot="1" x14ac:dyDescent="0.35">
      <c r="R12" s="24"/>
      <c r="AA12" s="25">
        <f>AA10/2</f>
        <v>90</v>
      </c>
    </row>
    <row r="13" spans="1:34" ht="15" thickBot="1" x14ac:dyDescent="0.35"/>
    <row r="14" spans="1:34" ht="15.6" thickTop="1" thickBot="1" x14ac:dyDescent="0.35">
      <c r="E14" s="54">
        <v>1</v>
      </c>
      <c r="G14" s="23">
        <f>'PLL1'!Y10</f>
        <v>180</v>
      </c>
    </row>
    <row r="15" spans="1:34" ht="15.6" thickTop="1" thickBot="1" x14ac:dyDescent="0.35">
      <c r="K15" s="54">
        <v>4</v>
      </c>
      <c r="AA15" s="25">
        <f>IF(K15=0,E26,IF(K15=1,D8,IF(K15=2,G22,IF(K15=4,G14,0))))/(O16+1)</f>
        <v>45</v>
      </c>
    </row>
    <row r="16" spans="1:34" ht="15.6" thickTop="1" thickBot="1" x14ac:dyDescent="0.35">
      <c r="O16" s="54">
        <v>3</v>
      </c>
      <c r="R16" s="24"/>
    </row>
    <row r="17" spans="2:27" ht="15.6" thickTop="1" thickBot="1" x14ac:dyDescent="0.35">
      <c r="G17" s="23">
        <f>PLL0!S17</f>
        <v>35.555555555555557</v>
      </c>
    </row>
    <row r="20" spans="2:27" ht="15" thickBot="1" x14ac:dyDescent="0.35"/>
    <row r="21" spans="2:27" ht="15.6" thickTop="1" thickBot="1" x14ac:dyDescent="0.35">
      <c r="P21" s="49">
        <f>IF(N22=0,0,IF(K28=0,E26,IF(K28=1,D8,IF(K28=2,G22,0))))</f>
        <v>160</v>
      </c>
      <c r="AA21" s="25">
        <f>P21/(R22+1)</f>
        <v>160</v>
      </c>
    </row>
    <row r="22" spans="2:27" ht="15.6" thickTop="1" thickBot="1" x14ac:dyDescent="0.35">
      <c r="B22" s="59">
        <f>'Oscillator Control'!M13</f>
        <v>40</v>
      </c>
      <c r="E22" s="54">
        <v>1</v>
      </c>
      <c r="G22" s="23">
        <f>PLL0!S11</f>
        <v>160</v>
      </c>
      <c r="N22" s="56">
        <v>1</v>
      </c>
      <c r="R22" s="54">
        <v>0</v>
      </c>
    </row>
    <row r="23" spans="2:27" ht="15.6" thickTop="1" thickBot="1" x14ac:dyDescent="0.35"/>
    <row r="24" spans="2:27" ht="15.6" thickTop="1" thickBot="1" x14ac:dyDescent="0.35">
      <c r="P24" s="49">
        <f>IF(N25=0,0,IF(K28=0,E26,IF(K28=1,E29,IF(K28=2,G22,0))))</f>
        <v>160</v>
      </c>
      <c r="AA24" s="25">
        <f>P24/(R25+1)</f>
        <v>16</v>
      </c>
    </row>
    <row r="25" spans="2:27" ht="15.6" thickTop="1" thickBot="1" x14ac:dyDescent="0.35">
      <c r="B25" s="56">
        <v>1</v>
      </c>
      <c r="N25" s="56">
        <v>1</v>
      </c>
      <c r="R25" s="54">
        <v>9</v>
      </c>
    </row>
    <row r="26" spans="2:27" ht="15.6" thickTop="1" thickBot="1" x14ac:dyDescent="0.35">
      <c r="E26" s="49">
        <f>IF(B25=1,16,0)</f>
        <v>16</v>
      </c>
    </row>
    <row r="27" spans="2:27" ht="15.6" thickTop="1" thickBot="1" x14ac:dyDescent="0.35">
      <c r="P27" s="49">
        <f>IF(N28=0,0,IF(K28=0,E26,IF(K28=1,E29,IF(K28=2,G22,0))))</f>
        <v>160</v>
      </c>
      <c r="AA27" s="25">
        <f>P27/(R28+1)</f>
        <v>80</v>
      </c>
    </row>
    <row r="28" spans="2:27" ht="15.6" thickTop="1" thickBot="1" x14ac:dyDescent="0.35">
      <c r="K28" s="54">
        <v>2</v>
      </c>
      <c r="N28" s="56">
        <v>1</v>
      </c>
      <c r="R28" s="54">
        <v>1</v>
      </c>
    </row>
    <row r="29" spans="2:27" ht="15.6" thickTop="1" thickBot="1" x14ac:dyDescent="0.35">
      <c r="E29" s="49">
        <f>IF(B10=1,B22,0)</f>
        <v>40</v>
      </c>
    </row>
    <row r="30" spans="2:27" ht="15" thickTop="1" x14ac:dyDescent="0.3"/>
    <row r="32" spans="2:27" ht="15" thickBot="1" x14ac:dyDescent="0.35">
      <c r="E32" s="37"/>
    </row>
    <row r="33" spans="8:27" ht="15.6" thickTop="1" thickBot="1" x14ac:dyDescent="0.35">
      <c r="P33" s="49">
        <f>IF(N34=0,0,IF(K37=0,E26,IF(K37=1,E29,IF(K37=2,G22,IF(K37=4,G14,0)))))</f>
        <v>180</v>
      </c>
      <c r="AA33" s="25">
        <f>P33/(R34+1)</f>
        <v>180</v>
      </c>
    </row>
    <row r="34" spans="8:27" ht="15.6" thickTop="1" thickBot="1" x14ac:dyDescent="0.35">
      <c r="N34" s="56">
        <v>1</v>
      </c>
      <c r="R34" s="54">
        <v>0</v>
      </c>
    </row>
    <row r="35" spans="8:27" ht="15" thickTop="1" x14ac:dyDescent="0.3"/>
    <row r="36" spans="8:27" ht="15" thickBot="1" x14ac:dyDescent="0.35"/>
    <row r="37" spans="8:27" ht="15.6" thickTop="1" thickBot="1" x14ac:dyDescent="0.35">
      <c r="K37" s="54">
        <v>4</v>
      </c>
    </row>
    <row r="38" spans="8:27" ht="15" thickTop="1" x14ac:dyDescent="0.3"/>
    <row r="41" spans="8:27" ht="15" thickBot="1" x14ac:dyDescent="0.35"/>
    <row r="42" spans="8:27" ht="15.6" thickTop="1" thickBot="1" x14ac:dyDescent="0.35">
      <c r="P42" s="49">
        <f>IF(N43=0,0,IF(K46=1,E29,IF(K46=2,G22,IF(K46=5,H44,0))))</f>
        <v>160</v>
      </c>
      <c r="AA42" s="25">
        <f>P42/(R43+1)</f>
        <v>20</v>
      </c>
    </row>
    <row r="43" spans="8:27" ht="15.6" thickTop="1" thickBot="1" x14ac:dyDescent="0.35">
      <c r="N43" s="56">
        <v>1</v>
      </c>
      <c r="R43" s="54">
        <v>7</v>
      </c>
    </row>
    <row r="44" spans="8:27" ht="15.6" thickTop="1" thickBot="1" x14ac:dyDescent="0.35">
      <c r="H44" s="55">
        <v>20</v>
      </c>
      <c r="I44" s="24"/>
    </row>
    <row r="45" spans="8:27" ht="15.6" thickTop="1" thickBot="1" x14ac:dyDescent="0.35"/>
    <row r="46" spans="8:27" ht="15.6" thickTop="1" thickBot="1" x14ac:dyDescent="0.35">
      <c r="K46" s="54">
        <v>2</v>
      </c>
    </row>
    <row r="47" spans="8:27" ht="15" thickTop="1" x14ac:dyDescent="0.3"/>
    <row r="50" spans="2:27" ht="15" thickBot="1" x14ac:dyDescent="0.35"/>
    <row r="51" spans="2:27" ht="15.6" thickTop="1" thickBot="1" x14ac:dyDescent="0.35">
      <c r="B51" s="49">
        <f>E52/(1+D53)</f>
        <v>80</v>
      </c>
      <c r="AA51" s="25">
        <f>IF(Y53=1,W52,D8)</f>
        <v>40</v>
      </c>
    </row>
    <row r="52" spans="2:27" ht="15.6" thickTop="1" thickBot="1" x14ac:dyDescent="0.35">
      <c r="E52" s="49">
        <f>IF(F53=0,0,G22)</f>
        <v>160</v>
      </c>
      <c r="S52" s="49">
        <f>O53/(1+Q54)</f>
        <v>80</v>
      </c>
      <c r="W52" s="49">
        <f>S52/2</f>
        <v>40</v>
      </c>
    </row>
    <row r="53" spans="2:27" ht="15.6" thickTop="1" thickBot="1" x14ac:dyDescent="0.35">
      <c r="D53" s="54">
        <v>1</v>
      </c>
      <c r="F53" s="56">
        <v>1</v>
      </c>
      <c r="O53" s="49">
        <f>IF(M54=0,0,G22)</f>
        <v>160</v>
      </c>
      <c r="Y53" s="56">
        <v>0</v>
      </c>
    </row>
    <row r="54" spans="2:27" ht="15.6" thickTop="1" thickBot="1" x14ac:dyDescent="0.35">
      <c r="M54" s="56">
        <v>1</v>
      </c>
      <c r="Q54" s="54">
        <v>1</v>
      </c>
    </row>
    <row r="55" spans="2:27" ht="15.6" thickTop="1" thickBot="1" x14ac:dyDescent="0.35"/>
    <row r="56" spans="2:27" ht="15.6" thickTop="1" thickBot="1" x14ac:dyDescent="0.35">
      <c r="O56" s="49">
        <f>IF(M57=0,0,G22)</f>
        <v>160</v>
      </c>
      <c r="AA56" s="25">
        <f>O56/(Q57+1)</f>
        <v>80</v>
      </c>
    </row>
    <row r="57" spans="2:27" ht="15.6" thickTop="1" thickBot="1" x14ac:dyDescent="0.35">
      <c r="B57" s="25">
        <f>IF(E60=1,B51,D8)</f>
        <v>80</v>
      </c>
      <c r="M57" s="56">
        <v>1</v>
      </c>
      <c r="Q57" s="54">
        <v>1</v>
      </c>
    </row>
    <row r="59" spans="2:27" ht="15" thickBot="1" x14ac:dyDescent="0.35"/>
    <row r="60" spans="2:27" ht="15.6" thickTop="1" thickBot="1" x14ac:dyDescent="0.35">
      <c r="E60" s="56">
        <v>1</v>
      </c>
    </row>
    <row r="61" spans="2:27" ht="15" thickTop="1" x14ac:dyDescent="0.3"/>
    <row r="64" spans="2:27" ht="15" thickBot="1" x14ac:dyDescent="0.35"/>
    <row r="65" spans="7:27" ht="15.6" thickTop="1" thickBot="1" x14ac:dyDescent="0.35">
      <c r="O65" s="49">
        <f>IF(M66=0,0,IF(K69=0,E26,IF(K69=1,E29,IF(K69=2,G22,IF(K68=3,G17,IF(K69=4,G14,IF(K69=5,G68,0)))))))</f>
        <v>180</v>
      </c>
      <c r="AA65" s="25">
        <f>O65/(Q66+1)</f>
        <v>45</v>
      </c>
    </row>
    <row r="66" spans="7:27" ht="15.6" thickTop="1" thickBot="1" x14ac:dyDescent="0.35">
      <c r="M66" s="56">
        <v>1</v>
      </c>
      <c r="Q66" s="54">
        <v>3</v>
      </c>
    </row>
    <row r="67" spans="7:27" ht="15.6" thickTop="1" thickBot="1" x14ac:dyDescent="0.35"/>
    <row r="68" spans="7:27" ht="15.6" thickTop="1" thickBot="1" x14ac:dyDescent="0.35">
      <c r="G68" s="55">
        <v>20</v>
      </c>
    </row>
    <row r="69" spans="7:27" ht="15.6" thickTop="1" thickBot="1" x14ac:dyDescent="0.35">
      <c r="K69" s="54">
        <v>4</v>
      </c>
    </row>
    <row r="70" spans="7:27" ht="15" thickTop="1" x14ac:dyDescent="0.3"/>
    <row r="78" spans="7:27" ht="15" thickBot="1" x14ac:dyDescent="0.35"/>
    <row r="79" spans="7:27" ht="15.6" thickTop="1" thickBot="1" x14ac:dyDescent="0.35">
      <c r="O79" s="49">
        <f>IF(M80=0,0,IF(K83=0,E26,IF(K83=1,E29,IF(K83=2,G22,IF(K83=3,G17,IF(K83=4,G14,IF(K83=5,G68,0)))))))</f>
        <v>180</v>
      </c>
      <c r="AA79" s="25">
        <f>O79/(Q80+1)</f>
        <v>45</v>
      </c>
    </row>
    <row r="80" spans="7:27" ht="15.6" thickTop="1" thickBot="1" x14ac:dyDescent="0.35">
      <c r="M80" s="56">
        <v>1</v>
      </c>
      <c r="Q80" s="54">
        <v>3</v>
      </c>
    </row>
    <row r="81" spans="7:11" ht="15" thickTop="1" x14ac:dyDescent="0.3"/>
    <row r="82" spans="7:11" ht="15" thickBot="1" x14ac:dyDescent="0.35">
      <c r="G82" s="50"/>
    </row>
    <row r="83" spans="7:11" ht="15.6" thickTop="1" thickBot="1" x14ac:dyDescent="0.35">
      <c r="K83" s="54">
        <v>4</v>
      </c>
    </row>
    <row r="84" spans="7:11" ht="15" thickTop="1" x14ac:dyDescent="0.3"/>
    <row r="150" spans="1:1" x14ac:dyDescent="0.3">
      <c r="A150">
        <v>0</v>
      </c>
    </row>
    <row r="151" spans="1:1" x14ac:dyDescent="0.3">
      <c r="A151">
        <v>1</v>
      </c>
    </row>
    <row r="152" spans="1:1" x14ac:dyDescent="0.3">
      <c r="A152">
        <v>2</v>
      </c>
    </row>
    <row r="153" spans="1:1" x14ac:dyDescent="0.3">
      <c r="A153">
        <v>3</v>
      </c>
    </row>
    <row r="154" spans="1:1" x14ac:dyDescent="0.3">
      <c r="A154">
        <v>4</v>
      </c>
    </row>
    <row r="155" spans="1:1" x14ac:dyDescent="0.3">
      <c r="A155">
        <v>5</v>
      </c>
    </row>
    <row r="156" spans="1:1" x14ac:dyDescent="0.3">
      <c r="A156">
        <v>6</v>
      </c>
    </row>
    <row r="157" spans="1:1" x14ac:dyDescent="0.3">
      <c r="A157">
        <v>7</v>
      </c>
    </row>
    <row r="158" spans="1:1" x14ac:dyDescent="0.3">
      <c r="A158">
        <v>8</v>
      </c>
    </row>
    <row r="159" spans="1:1" x14ac:dyDescent="0.3">
      <c r="A159">
        <v>9</v>
      </c>
    </row>
    <row r="160" spans="1:1" x14ac:dyDescent="0.3">
      <c r="A160">
        <v>10</v>
      </c>
    </row>
    <row r="161" spans="1:1" x14ac:dyDescent="0.3">
      <c r="A161">
        <v>11</v>
      </c>
    </row>
    <row r="162" spans="1:1" x14ac:dyDescent="0.3">
      <c r="A162">
        <v>12</v>
      </c>
    </row>
    <row r="163" spans="1:1" x14ac:dyDescent="0.3">
      <c r="A163">
        <v>13</v>
      </c>
    </row>
    <row r="164" spans="1:1" x14ac:dyDescent="0.3">
      <c r="A164">
        <v>14</v>
      </c>
    </row>
    <row r="165" spans="1:1" x14ac:dyDescent="0.3">
      <c r="A165">
        <v>15</v>
      </c>
    </row>
    <row r="166" spans="1:1" x14ac:dyDescent="0.3">
      <c r="A166">
        <v>16</v>
      </c>
    </row>
    <row r="167" spans="1:1" x14ac:dyDescent="0.3">
      <c r="A167">
        <v>17</v>
      </c>
    </row>
    <row r="168" spans="1:1" x14ac:dyDescent="0.3">
      <c r="A168">
        <v>18</v>
      </c>
    </row>
    <row r="169" spans="1:1" x14ac:dyDescent="0.3">
      <c r="A169">
        <v>19</v>
      </c>
    </row>
    <row r="170" spans="1:1" x14ac:dyDescent="0.3">
      <c r="A170">
        <v>20</v>
      </c>
    </row>
    <row r="171" spans="1:1" x14ac:dyDescent="0.3">
      <c r="A171">
        <v>21</v>
      </c>
    </row>
    <row r="172" spans="1:1" x14ac:dyDescent="0.3">
      <c r="A172">
        <v>22</v>
      </c>
    </row>
    <row r="173" spans="1:1" x14ac:dyDescent="0.3">
      <c r="A173">
        <v>23</v>
      </c>
    </row>
    <row r="174" spans="1:1" x14ac:dyDescent="0.3">
      <c r="A174">
        <v>24</v>
      </c>
    </row>
    <row r="175" spans="1:1" x14ac:dyDescent="0.3">
      <c r="A175">
        <v>25</v>
      </c>
    </row>
    <row r="176" spans="1:1" x14ac:dyDescent="0.3">
      <c r="A176">
        <v>26</v>
      </c>
    </row>
    <row r="177" spans="1:1" x14ac:dyDescent="0.3">
      <c r="A177">
        <v>27</v>
      </c>
    </row>
    <row r="178" spans="1:1" x14ac:dyDescent="0.3">
      <c r="A178">
        <v>28</v>
      </c>
    </row>
    <row r="179" spans="1:1" x14ac:dyDescent="0.3">
      <c r="A179">
        <v>29</v>
      </c>
    </row>
    <row r="180" spans="1:1" x14ac:dyDescent="0.3">
      <c r="A180">
        <v>30</v>
      </c>
    </row>
    <row r="181" spans="1:1" x14ac:dyDescent="0.3">
      <c r="A181">
        <v>31</v>
      </c>
    </row>
    <row r="182" spans="1:1" x14ac:dyDescent="0.3">
      <c r="A182">
        <v>32</v>
      </c>
    </row>
    <row r="183" spans="1:1" x14ac:dyDescent="0.3">
      <c r="A183">
        <v>33</v>
      </c>
    </row>
    <row r="184" spans="1:1" x14ac:dyDescent="0.3">
      <c r="A184">
        <v>34</v>
      </c>
    </row>
    <row r="185" spans="1:1" x14ac:dyDescent="0.3">
      <c r="A185">
        <v>35</v>
      </c>
    </row>
    <row r="186" spans="1:1" x14ac:dyDescent="0.3">
      <c r="A186">
        <v>36</v>
      </c>
    </row>
    <row r="187" spans="1:1" x14ac:dyDescent="0.3">
      <c r="A187">
        <v>37</v>
      </c>
    </row>
    <row r="188" spans="1:1" x14ac:dyDescent="0.3">
      <c r="A188">
        <v>38</v>
      </c>
    </row>
    <row r="189" spans="1:1" x14ac:dyDescent="0.3">
      <c r="A189">
        <v>39</v>
      </c>
    </row>
    <row r="190" spans="1:1" x14ac:dyDescent="0.3">
      <c r="A190">
        <v>40</v>
      </c>
    </row>
    <row r="191" spans="1:1" x14ac:dyDescent="0.3">
      <c r="A191">
        <v>41</v>
      </c>
    </row>
    <row r="192" spans="1:1" x14ac:dyDescent="0.3">
      <c r="A192">
        <v>42</v>
      </c>
    </row>
    <row r="193" spans="1:1" x14ac:dyDescent="0.3">
      <c r="A193">
        <v>43</v>
      </c>
    </row>
    <row r="194" spans="1:1" x14ac:dyDescent="0.3">
      <c r="A194">
        <v>44</v>
      </c>
    </row>
    <row r="195" spans="1:1" x14ac:dyDescent="0.3">
      <c r="A195">
        <v>45</v>
      </c>
    </row>
    <row r="196" spans="1:1" x14ac:dyDescent="0.3">
      <c r="A196">
        <v>46</v>
      </c>
    </row>
    <row r="197" spans="1:1" x14ac:dyDescent="0.3">
      <c r="A197">
        <v>47</v>
      </c>
    </row>
    <row r="198" spans="1:1" x14ac:dyDescent="0.3">
      <c r="A198">
        <v>48</v>
      </c>
    </row>
    <row r="199" spans="1:1" x14ac:dyDescent="0.3">
      <c r="A199">
        <v>49</v>
      </c>
    </row>
    <row r="200" spans="1:1" x14ac:dyDescent="0.3">
      <c r="A200">
        <v>50</v>
      </c>
    </row>
    <row r="201" spans="1:1" x14ac:dyDescent="0.3">
      <c r="A201">
        <v>51</v>
      </c>
    </row>
    <row r="202" spans="1:1" x14ac:dyDescent="0.3">
      <c r="A202">
        <v>52</v>
      </c>
    </row>
    <row r="203" spans="1:1" x14ac:dyDescent="0.3">
      <c r="A203">
        <v>53</v>
      </c>
    </row>
    <row r="204" spans="1:1" x14ac:dyDescent="0.3">
      <c r="A204">
        <v>54</v>
      </c>
    </row>
    <row r="205" spans="1:1" x14ac:dyDescent="0.3">
      <c r="A205">
        <v>55</v>
      </c>
    </row>
    <row r="206" spans="1:1" x14ac:dyDescent="0.3">
      <c r="A206">
        <v>56</v>
      </c>
    </row>
    <row r="207" spans="1:1" x14ac:dyDescent="0.3">
      <c r="A207">
        <v>57</v>
      </c>
    </row>
    <row r="208" spans="1:1" x14ac:dyDescent="0.3">
      <c r="A208">
        <v>58</v>
      </c>
    </row>
    <row r="209" spans="1:1" x14ac:dyDescent="0.3">
      <c r="A209">
        <v>59</v>
      </c>
    </row>
    <row r="210" spans="1:1" x14ac:dyDescent="0.3">
      <c r="A210">
        <v>60</v>
      </c>
    </row>
    <row r="211" spans="1:1" x14ac:dyDescent="0.3">
      <c r="A211">
        <v>61</v>
      </c>
    </row>
    <row r="212" spans="1:1" x14ac:dyDescent="0.3">
      <c r="A212">
        <v>62</v>
      </c>
    </row>
    <row r="213" spans="1:1" x14ac:dyDescent="0.3">
      <c r="A213">
        <v>63</v>
      </c>
    </row>
    <row r="214" spans="1:1" x14ac:dyDescent="0.3">
      <c r="A214">
        <v>64</v>
      </c>
    </row>
    <row r="215" spans="1:1" x14ac:dyDescent="0.3">
      <c r="A215">
        <v>65</v>
      </c>
    </row>
    <row r="216" spans="1:1" x14ac:dyDescent="0.3">
      <c r="A216">
        <v>66</v>
      </c>
    </row>
    <row r="217" spans="1:1" x14ac:dyDescent="0.3">
      <c r="A217">
        <v>67</v>
      </c>
    </row>
    <row r="218" spans="1:1" x14ac:dyDescent="0.3">
      <c r="A218">
        <v>68</v>
      </c>
    </row>
    <row r="219" spans="1:1" x14ac:dyDescent="0.3">
      <c r="A219">
        <v>69</v>
      </c>
    </row>
    <row r="220" spans="1:1" x14ac:dyDescent="0.3">
      <c r="A220">
        <v>70</v>
      </c>
    </row>
    <row r="221" spans="1:1" x14ac:dyDescent="0.3">
      <c r="A221">
        <v>71</v>
      </c>
    </row>
    <row r="222" spans="1:1" x14ac:dyDescent="0.3">
      <c r="A222">
        <v>72</v>
      </c>
    </row>
    <row r="223" spans="1:1" x14ac:dyDescent="0.3">
      <c r="A223">
        <v>73</v>
      </c>
    </row>
    <row r="224" spans="1:1" x14ac:dyDescent="0.3">
      <c r="A224">
        <v>74</v>
      </c>
    </row>
    <row r="225" spans="1:1" x14ac:dyDescent="0.3">
      <c r="A225">
        <v>75</v>
      </c>
    </row>
    <row r="226" spans="1:1" x14ac:dyDescent="0.3">
      <c r="A226">
        <v>76</v>
      </c>
    </row>
    <row r="227" spans="1:1" x14ac:dyDescent="0.3">
      <c r="A227">
        <v>77</v>
      </c>
    </row>
    <row r="228" spans="1:1" x14ac:dyDescent="0.3">
      <c r="A228">
        <v>78</v>
      </c>
    </row>
    <row r="229" spans="1:1" x14ac:dyDescent="0.3">
      <c r="A229">
        <v>79</v>
      </c>
    </row>
    <row r="230" spans="1:1" x14ac:dyDescent="0.3">
      <c r="A230">
        <v>80</v>
      </c>
    </row>
    <row r="231" spans="1:1" x14ac:dyDescent="0.3">
      <c r="A231">
        <v>81</v>
      </c>
    </row>
    <row r="232" spans="1:1" x14ac:dyDescent="0.3">
      <c r="A232">
        <v>82</v>
      </c>
    </row>
    <row r="233" spans="1:1" x14ac:dyDescent="0.3">
      <c r="A233">
        <v>83</v>
      </c>
    </row>
    <row r="234" spans="1:1" x14ac:dyDescent="0.3">
      <c r="A234">
        <v>84</v>
      </c>
    </row>
    <row r="235" spans="1:1" x14ac:dyDescent="0.3">
      <c r="A235">
        <v>85</v>
      </c>
    </row>
    <row r="236" spans="1:1" x14ac:dyDescent="0.3">
      <c r="A236">
        <v>86</v>
      </c>
    </row>
    <row r="237" spans="1:1" x14ac:dyDescent="0.3">
      <c r="A237">
        <v>87</v>
      </c>
    </row>
    <row r="238" spans="1:1" x14ac:dyDescent="0.3">
      <c r="A238">
        <v>88</v>
      </c>
    </row>
    <row r="239" spans="1:1" x14ac:dyDescent="0.3">
      <c r="A239">
        <v>89</v>
      </c>
    </row>
    <row r="240" spans="1:1" x14ac:dyDescent="0.3">
      <c r="A240">
        <v>90</v>
      </c>
    </row>
    <row r="241" spans="1:1" x14ac:dyDescent="0.3">
      <c r="A241">
        <v>91</v>
      </c>
    </row>
    <row r="242" spans="1:1" x14ac:dyDescent="0.3">
      <c r="A242">
        <v>92</v>
      </c>
    </row>
    <row r="243" spans="1:1" x14ac:dyDescent="0.3">
      <c r="A243">
        <v>93</v>
      </c>
    </row>
    <row r="244" spans="1:1" x14ac:dyDescent="0.3">
      <c r="A244">
        <v>94</v>
      </c>
    </row>
    <row r="245" spans="1:1" x14ac:dyDescent="0.3">
      <c r="A245">
        <v>95</v>
      </c>
    </row>
    <row r="246" spans="1:1" x14ac:dyDescent="0.3">
      <c r="A246">
        <v>96</v>
      </c>
    </row>
    <row r="247" spans="1:1" x14ac:dyDescent="0.3">
      <c r="A247">
        <v>97</v>
      </c>
    </row>
    <row r="248" spans="1:1" x14ac:dyDescent="0.3">
      <c r="A248">
        <v>98</v>
      </c>
    </row>
    <row r="249" spans="1:1" x14ac:dyDescent="0.3">
      <c r="A249">
        <v>99</v>
      </c>
    </row>
    <row r="250" spans="1:1" x14ac:dyDescent="0.3">
      <c r="A250">
        <v>100</v>
      </c>
    </row>
    <row r="251" spans="1:1" x14ac:dyDescent="0.3">
      <c r="A251">
        <v>101</v>
      </c>
    </row>
    <row r="252" spans="1:1" x14ac:dyDescent="0.3">
      <c r="A252">
        <v>102</v>
      </c>
    </row>
    <row r="253" spans="1:1" x14ac:dyDescent="0.3">
      <c r="A253">
        <v>103</v>
      </c>
    </row>
    <row r="254" spans="1:1" x14ac:dyDescent="0.3">
      <c r="A254">
        <v>104</v>
      </c>
    </row>
    <row r="255" spans="1:1" x14ac:dyDescent="0.3">
      <c r="A255">
        <v>105</v>
      </c>
    </row>
    <row r="256" spans="1:1" x14ac:dyDescent="0.3">
      <c r="A256">
        <v>106</v>
      </c>
    </row>
    <row r="257" spans="1:1" x14ac:dyDescent="0.3">
      <c r="A257">
        <v>107</v>
      </c>
    </row>
    <row r="258" spans="1:1" x14ac:dyDescent="0.3">
      <c r="A258">
        <v>108</v>
      </c>
    </row>
    <row r="259" spans="1:1" x14ac:dyDescent="0.3">
      <c r="A259">
        <v>109</v>
      </c>
    </row>
    <row r="260" spans="1:1" x14ac:dyDescent="0.3">
      <c r="A260">
        <v>110</v>
      </c>
    </row>
    <row r="261" spans="1:1" x14ac:dyDescent="0.3">
      <c r="A261">
        <v>111</v>
      </c>
    </row>
    <row r="262" spans="1:1" x14ac:dyDescent="0.3">
      <c r="A262">
        <v>112</v>
      </c>
    </row>
    <row r="263" spans="1:1" x14ac:dyDescent="0.3">
      <c r="A263">
        <v>113</v>
      </c>
    </row>
    <row r="264" spans="1:1" x14ac:dyDescent="0.3">
      <c r="A264">
        <v>114</v>
      </c>
    </row>
    <row r="265" spans="1:1" x14ac:dyDescent="0.3">
      <c r="A265">
        <v>115</v>
      </c>
    </row>
    <row r="266" spans="1:1" x14ac:dyDescent="0.3">
      <c r="A266">
        <v>116</v>
      </c>
    </row>
    <row r="267" spans="1:1" x14ac:dyDescent="0.3">
      <c r="A267">
        <v>117</v>
      </c>
    </row>
    <row r="268" spans="1:1" x14ac:dyDescent="0.3">
      <c r="A268">
        <v>118</v>
      </c>
    </row>
    <row r="269" spans="1:1" x14ac:dyDescent="0.3">
      <c r="A269">
        <v>119</v>
      </c>
    </row>
    <row r="270" spans="1:1" x14ac:dyDescent="0.3">
      <c r="A270">
        <v>120</v>
      </c>
    </row>
    <row r="271" spans="1:1" x14ac:dyDescent="0.3">
      <c r="A271">
        <v>121</v>
      </c>
    </row>
    <row r="272" spans="1:1" x14ac:dyDescent="0.3">
      <c r="A272">
        <v>122</v>
      </c>
    </row>
    <row r="273" spans="1:1" x14ac:dyDescent="0.3">
      <c r="A273">
        <v>123</v>
      </c>
    </row>
    <row r="274" spans="1:1" x14ac:dyDescent="0.3">
      <c r="A274">
        <v>124</v>
      </c>
    </row>
    <row r="275" spans="1:1" x14ac:dyDescent="0.3">
      <c r="A275">
        <v>125</v>
      </c>
    </row>
    <row r="276" spans="1:1" x14ac:dyDescent="0.3">
      <c r="A276">
        <v>126</v>
      </c>
    </row>
    <row r="277" spans="1:1" x14ac:dyDescent="0.3">
      <c r="A277">
        <v>127</v>
      </c>
    </row>
    <row r="278" spans="1:1" x14ac:dyDescent="0.3">
      <c r="A278">
        <v>128</v>
      </c>
    </row>
  </sheetData>
  <dataConsolidate/>
  <conditionalFormatting sqref="AA51">
    <cfRule type="expression" dxfId="62" priority="1">
      <formula>$AA$51=0</formula>
    </cfRule>
    <cfRule type="expression" dxfId="61" priority="2">
      <formula>"NOT($AA$51=Limits!$C$31)"</formula>
    </cfRule>
  </conditionalFormatting>
  <dataValidations count="47">
    <dataValidation type="list" allowBlank="1" showInputMessage="1" showErrorMessage="1" promptTitle="CLKOUT Divider" prompt="MC_CGM_AC6_DC0[DIV]. Note that this is the bitfield value so the actual divider would be DIV+1." sqref="R34" xr:uid="{00000000-0002-0000-0000-000000000000}">
      <formula1>$A$150:$A$277</formula1>
    </dataValidation>
    <dataValidation type="list" allowBlank="1" showInputMessage="1" showErrorMessage="1" promptTitle="System Clock Selector" prompt="MC_ME_&lt;MODE&gt;_MC[SYSCLK]" sqref="K15" xr:uid="{00000000-0002-0000-0000-000001000000}">
      <formula1>"0,1,2,4,15"</formula1>
    </dataValidation>
    <dataValidation type="list" allowBlank="1" showInputMessage="1" showErrorMessage="1" promptTitle="SENT_CLK Divider" prompt="MC_CGM_AC1_DC1[DIV]. Note that this is the bitfield value so the actual divider would be DIV+1." sqref="Q57" xr:uid="{00000000-0002-0000-0000-000002000000}">
      <formula1>$A$150:$A$213</formula1>
    </dataValidation>
    <dataValidation type="list" showInputMessage="1" showErrorMessage="1" sqref="E14" xr:uid="{00000000-0002-0000-0000-000003000000}">
      <formula1>"1,3"</formula1>
    </dataValidation>
    <dataValidation type="list" showInputMessage="1" showErrorMessage="1" sqref="E22" xr:uid="{00000000-0002-0000-0000-000004000000}">
      <formula1>"0,1"</formula1>
    </dataValidation>
    <dataValidation type="list" allowBlank="1" showInputMessage="1" showErrorMessage="1" promptTitle="ENET_TIME_CLK Divider" prompt="MC_CGM_AC11_DC0[DIV]. Note that this is the bitfield value so the actual divider would be DIV+1." sqref="Q80" xr:uid="{00000000-0002-0000-0000-000005000000}">
      <formula1>$A$150:$A$165</formula1>
    </dataValidation>
    <dataValidation type="list" allowBlank="1" showInputMessage="1" showErrorMessage="1" promptTitle="FRAY_CLK Divider" prompt="MC_CGM_AC1_DC0[DIV]. Note that this is the bitfield value so the actual divider would be DIV+1." sqref="Q54" xr:uid="{00000000-0002-0000-0000-000006000000}">
      <formula1>$A$150:$A$181</formula1>
    </dataValidation>
    <dataValidation type="list" allowBlank="1" showInputMessage="1" showErrorMessage="1" promptTitle="AUX Clock Selector 0" prompt="MC_CGM_AC0_SC[SELCTL]" sqref="K28" xr:uid="{00000000-0002-0000-0000-000007000000}">
      <formula1>"0,1,2"</formula1>
    </dataValidation>
    <dataValidation type="list" allowBlank="1" showInputMessage="1" showErrorMessage="1" promptTitle="AUX Clock Selector 6" prompt="MC_CGM_AC6_SC[SELCTL]" sqref="K37" xr:uid="{00000000-0002-0000-0000-000008000000}">
      <formula1>"0,1,2,4"</formula1>
    </dataValidation>
    <dataValidation type="list" allowBlank="1" showInputMessage="1" showErrorMessage="1" promptTitle="AUX Clock Selector 5" prompt="MC_CGM_AC5_SC[SELCTL]" sqref="K46" xr:uid="{00000000-0002-0000-0000-000009000000}">
      <formula1>"1,2,5"</formula1>
    </dataValidation>
    <dataValidation type="list" allowBlank="1" showInputMessage="1" showErrorMessage="1" promptTitle="AUX Clock Selector 11" prompt="MC_CGM_AC11_SC[SELCTL]" sqref="K83" xr:uid="{00000000-0002-0000-0000-00000A000000}">
      <formula1>"0,1,2,3,4,5"</formula1>
    </dataValidation>
    <dataValidation type="decimal" allowBlank="1" showInputMessage="1" showErrorMessage="1" errorTitle="Invalid XOSC Frequency" error="XOSC is valid between 8 MHz and 44 MHz." promptTitle="XOSC Frequency Range" prompt="XOSC is valid between 8 MHz and 44 MHz." sqref="B22" xr:uid="{00000000-0002-0000-0000-00000B000000}">
      <formula1>8</formula1>
      <formula2>44</formula2>
    </dataValidation>
    <dataValidation type="list" allowBlank="1" showInputMessage="1" showErrorMessage="1" sqref="B10" xr:uid="{00000000-0002-0000-0000-00000C000000}">
      <formula1>"0,1"</formula1>
    </dataValidation>
    <dataValidation allowBlank="1" showInputMessage="1" showErrorMessage="1" promptTitle="CHCKR_CLK/SYS_CLK Limitation" prompt="CHCKR_CLK and SYS_CLK support up to 200 MHz." sqref="AA10" xr:uid="{00000000-0002-0000-0000-00000D000000}"/>
    <dataValidation allowBlank="1" showInputMessage="1" showErrorMessage="1" promptTitle="HALFSYS_CLK Limits" prompt="HALFSYS_CLK supports up to 100 MHz." sqref="AA12" xr:uid="{00000000-0002-0000-0000-00000E000000}"/>
    <dataValidation allowBlank="1" showInputMessage="1" showErrorMessage="1" promptTitle="PBRIDGEx_CLK Limits" prompt="PBRIDGEx_CLK supports up to 50 MHz." sqref="AA15" xr:uid="{00000000-0002-0000-0000-00000F000000}"/>
    <dataValidation allowBlank="1" showInputMessage="1" showErrorMessage="1" promptTitle="MOTC_CLK Limits" prompt="MOTC_CLK supports up to 160 MHz." sqref="AA21" xr:uid="{00000000-0002-0000-0000-000010000000}"/>
    <dataValidation allowBlank="1" showInputMessage="1" showErrorMessage="1" promptTitle="SGEN Limits" prompt="SGEN_CLK supports up to 20 MHz." sqref="AA24" xr:uid="{00000000-0002-0000-0000-000011000000}"/>
    <dataValidation allowBlank="1" showInputMessage="1" showErrorMessage="1" promptTitle="ADC_CLK Limits" prompt="ADC_CLK supports up to 80 MHz." sqref="AA27" xr:uid="{00000000-0002-0000-0000-000012000000}"/>
    <dataValidation allowBlank="1" showInputMessage="1" showErrorMessage="1" promptTitle="LFAST PLL Input Frequency" prompt="This clock domain is the input to the on-die LFAST PLL. Max frequency is 26 MHz. To be compliant with LFAST standard, set PD_LFAST_PLL to either low range 10/13 MHz or high range 20/26 MHz. 10 and 20 MHz recommended over 13 and 26 MHz." sqref="AA42" xr:uid="{00000000-0002-0000-0000-000013000000}"/>
    <dataValidation allowBlank="1" showInputMessage="1" showErrorMessage="1" promptTitle="FRAY_CLK" prompt="FRAY_CLK supports up to 80 MHz, but FRAY_CLK must be 40 MHz for proper FlexRay operation." sqref="AA51" xr:uid="{00000000-0002-0000-0000-000014000000}"/>
    <dataValidation allowBlank="1" showInputMessage="1" showErrorMessage="1" promptTitle="SENT_CLK Limits" prompt="SENT_CLK supports up to 80 MHz." sqref="AA56" xr:uid="{00000000-0002-0000-0000-000015000000}"/>
    <dataValidation allowBlank="1" showInputMessage="1" showErrorMessage="1" promptTitle="CAN_CLK Limits" prompt="CAN_CLK supports up to 80 MHz." sqref="B57" xr:uid="{00000000-0002-0000-0000-000016000000}"/>
    <dataValidation allowBlank="1" showInputMessage="1" showErrorMessage="1" promptTitle="ENET_CLK Limits" prompt="ENET_CLK supports up to 50 MHz." sqref="AA65" xr:uid="{00000000-0002-0000-0000-000017000000}"/>
    <dataValidation allowBlank="1" showInputMessage="1" showErrorMessage="1" promptTitle="ENET_TIME_CLK Limits" prompt="ENET_TIME_CLK supports up ot 50 MHz." sqref="AA79" xr:uid="{00000000-0002-0000-0000-000018000000}"/>
    <dataValidation type="list" allowBlank="1" showInputMessage="1" showErrorMessage="1" promptTitle="PBRIDGE Clock Divider" prompt="MC_CGM_SC_DC0[DIV].  Note that this is the bitfield value so the actual divider would be DIV+1." sqref="O16" xr:uid="{00000000-0002-0000-0000-000019000000}">
      <formula1>$A$150:$A$213</formula1>
    </dataValidation>
    <dataValidation type="list" allowBlank="1" showInputMessage="1" showErrorMessage="1" promptTitle="MOTC_CLK Enable" prompt="MC_CGM_AC0_DC0[DE]" sqref="N22" xr:uid="{00000000-0002-0000-0000-00001A000000}">
      <formula1>"0,1"</formula1>
    </dataValidation>
    <dataValidation type="list" allowBlank="1" showInputMessage="1" showErrorMessage="1" promptTitle="MOTC_CLK Divider" prompt="MC_CGM_AC0_DC0[DIV]. Note that this is the bitfield value so the actual divider would be DIV+1." sqref="R22" xr:uid="{00000000-0002-0000-0000-00001B000000}">
      <formula1>$A$150:$A$165</formula1>
    </dataValidation>
    <dataValidation type="list" allowBlank="1" showInputMessage="1" showErrorMessage="1" promptTitle="SGEN_CLK Divider" prompt="MC_CGM_AC0_DC1[DIV]. Note that this is the bitfield value so the actual divider would be DIV+1." sqref="R25" xr:uid="{00000000-0002-0000-0000-00001C000000}">
      <formula1>$A$150:$A$181</formula1>
    </dataValidation>
    <dataValidation type="list" allowBlank="1" showInputMessage="1" showErrorMessage="1" promptTitle="SGEN_CLK Enable" prompt="MC_CGM_AC0_DC1[DE]" sqref="N25" xr:uid="{00000000-0002-0000-0000-00001D000000}">
      <formula1>"0,1"</formula1>
    </dataValidation>
    <dataValidation type="list" allowBlank="1" showInputMessage="1" showErrorMessage="1" promptTitle="ADC_CLK Divider" prompt="MC_CGM_AC0_DC2[DIV]. Note that this is the bitfield value so the actual divider would be DIV+1." sqref="R28" xr:uid="{00000000-0002-0000-0000-00001E000000}">
      <formula1>$A$150:$A$181</formula1>
    </dataValidation>
    <dataValidation type="list" allowBlank="1" showInputMessage="1" showErrorMessage="1" promptTitle="ADC_CLK Enable" prompt="MC_CGM_AC0_DC2[DE]" sqref="N28" xr:uid="{00000000-0002-0000-0000-00001F000000}">
      <formula1>"0,1"</formula1>
    </dataValidation>
    <dataValidation type="list" allowBlank="1" showInputMessage="1" showErrorMessage="1" promptTitle="CLKOUT Enable" prompt="MC_CGM_AC6_SC[SELCTL]" sqref="N34" xr:uid="{00000000-0002-0000-0000-000020000000}">
      <formula1>"0,1"</formula1>
    </dataValidation>
    <dataValidation type="list" allowBlank="1" showInputMessage="1" showErrorMessage="1" promptTitle="LFAST Divider" prompt="MC_CGM_AC5_DC0[DIV]. Note that this is the bitfield value so the actual divider would be DIV+1." sqref="R43" xr:uid="{00000000-0002-0000-0000-000021000000}">
      <formula1>$A$150:$A$181</formula1>
    </dataValidation>
    <dataValidation type="list" allowBlank="1" showInputMessage="1" showErrorMessage="1" promptTitle="LFAST Enable" prompt="MC_CGM_AC5_DC0[DE]" sqref="N43" xr:uid="{00000000-0002-0000-0000-000022000000}">
      <formula1>"0,1"</formula1>
    </dataValidation>
    <dataValidation type="list" allowBlank="1" showInputMessage="1" showErrorMessage="1" promptTitle="FRAY_CLK Enable" prompt="MC_CGM_AC1_DC0[DE]" sqref="M54" xr:uid="{00000000-0002-0000-0000-000023000000}">
      <formula1>"0,1"</formula1>
    </dataValidation>
    <dataValidation type="list" allowBlank="1" showInputMessage="1" showErrorMessage="1" promptTitle="SENT_CLK Enable" prompt="MC_CGM_AC1_DC1[DE]" sqref="M57" xr:uid="{00000000-0002-0000-0000-000024000000}">
      <formula1>"0,1"</formula1>
    </dataValidation>
    <dataValidation type="list" allowBlank="1" showInputMessage="1" showErrorMessage="1" promptTitle="CAN_CLK Divider" prompt="MC_CGM_AC2_DC0[DIV]. Note that this is the bitfield value so the actual divider would be DIV+1." sqref="D53" xr:uid="{00000000-0002-0000-0000-000025000000}">
      <formula1>$A$150:$A$165</formula1>
    </dataValidation>
    <dataValidation type="list" allowBlank="1" showInputMessage="1" showErrorMessage="1" promptTitle="CAN_CLK Enable" prompt="MC_CGM_AC2_DC0[DE]" sqref="F53" xr:uid="{00000000-0002-0000-0000-000026000000}">
      <formula1>"0,1"</formula1>
    </dataValidation>
    <dataValidation type="list" allowBlank="1" showInputMessage="1" showErrorMessage="1" promptTitle="ENET_CLK Divider" prompt="MC_CGM_AC10_DC0[DIV]. Note that this is the bitfield value so the actual divider would be DIV+1." sqref="Q66" xr:uid="{00000000-0002-0000-0000-000027000000}">
      <formula1>$A$150:$A$165</formula1>
    </dataValidation>
    <dataValidation type="list" allowBlank="1" showInputMessage="1" showErrorMessage="1" promptTitle="ENET_CLK Enable" prompt="MC_CGM_AC10_SC[SELCTL]" sqref="M66" xr:uid="{00000000-0002-0000-0000-000028000000}">
      <formula1>"0,1"</formula1>
    </dataValidation>
    <dataValidation type="list" allowBlank="1" showInputMessage="1" showErrorMessage="1" promptTitle="AUX Clock Selector 10" prompt="MC_CGM_AC10_SC[SELCTL]" sqref="K69" xr:uid="{00000000-0002-0000-0000-000029000000}">
      <formula1>"0,1,2,3,4,5"</formula1>
    </dataValidation>
    <dataValidation type="list" allowBlank="1" showInputMessage="1" showErrorMessage="1" promptTitle="ENET_TIME_CLK Enable" prompt="MC_CGM_AC11_DC0[DE]" sqref="M80" xr:uid="{00000000-0002-0000-0000-00002A000000}">
      <formula1>"0,1"</formula1>
    </dataValidation>
    <dataValidation allowBlank="1" showErrorMessage="1" promptTitle="EXTAL" prompt="You can drive a signal into the EXTAL pin instead of an oscillator connected to XTAL/EXTAL pins." sqref="E32" xr:uid="{00000000-0002-0000-0000-00002B000000}"/>
    <dataValidation type="list" allowBlank="1" showInputMessage="1" showErrorMessage="1" promptTitle="Note" prompt="IRCOSC is only selectable in TEST mode.  In all other power modes, IRCOSC is always on, i.e. this block must be 1 in all power modes, except TEST mode." sqref="B25" xr:uid="{00000000-0002-0000-0000-00002C000000}">
      <formula1>"0,1"</formula1>
    </dataValidation>
    <dataValidation type="list" allowBlank="1" showInputMessage="1" showErrorMessage="1" promptTitle="CAN_CLK Source Select" prompt="CANx_CTRL1[CLKSRC]" sqref="E60" xr:uid="{00000000-0002-0000-0000-00002D000000}">
      <formula1>"0,1"</formula1>
    </dataValidation>
    <dataValidation type="list" allowBlank="1" showInputMessage="1" showErrorMessage="1" promptTitle="FR_MCR[CLKSEL]" prompt="The output of this block must be 40 MHz for proper operation." sqref="Y53" xr:uid="{00000000-0002-0000-0000-00002E000000}">
      <formula1>"0,1"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Button_Reset">
                <anchor moveWithCells="1" sizeWithCells="1">
                  <from>
                    <xdr:col>0</xdr:col>
                    <xdr:colOff>571500</xdr:colOff>
                    <xdr:row>2</xdr:row>
                    <xdr:rowOff>160020</xdr:rowOff>
                  </from>
                  <to>
                    <xdr:col>2</xdr:col>
                    <xdr:colOff>464820</xdr:colOff>
                    <xdr:row>4</xdr:row>
                    <xdr:rowOff>7620</xdr:rowOff>
                  </to>
                </anchor>
              </controlPr>
            </control>
          </mc:Choice>
        </mc:AlternateContent>
        <mc:AlternateContent xmlns:mc="http://schemas.openxmlformats.org/markup-compatibility/2006">
          <mc:Choice Requires="x14">
            <control shapeId="1037" r:id="rId5" name="Button 13">
              <controlPr defaultSize="0" print="0" autoFill="0" autoPict="0" macro="[0]!Button_Max">
                <anchor moveWithCells="1" sizeWithCells="1">
                  <from>
                    <xdr:col>0</xdr:col>
                    <xdr:colOff>563880</xdr:colOff>
                    <xdr:row>4</xdr:row>
                    <xdr:rowOff>182880</xdr:rowOff>
                  </from>
                  <to>
                    <xdr:col>2</xdr:col>
                    <xdr:colOff>441960</xdr:colOff>
                    <xdr:row>6</xdr:row>
                    <xdr:rowOff>68580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 id="{7264D7C0-C883-416F-AE03-34D1115949B9}">
            <xm:f>$AA$51 &gt; Limits!$B$31</xm:f>
            <x14:dxf>
              <fill>
                <patternFill>
                  <bgColor rgb="FFFF0000"/>
                </patternFill>
              </fill>
            </x14:dxf>
          </x14:cfRule>
          <xm:sqref>AA51</xm:sqref>
        </x14:conditionalFormatting>
        <x14:conditionalFormatting xmlns:xm="http://schemas.microsoft.com/office/excel/2006/main">
          <x14:cfRule type="expression" priority="6" id="{C0F7B5B2-FB90-48CA-9CD1-810DCDD127BA}">
            <xm:f>$AA$56 &gt; Limits!$B$33</xm:f>
            <x14:dxf>
              <fill>
                <patternFill>
                  <bgColor rgb="FFFF0000"/>
                </patternFill>
              </fill>
            </x14:dxf>
          </x14:cfRule>
          <xm:sqref>AA56</xm:sqref>
        </x14:conditionalFormatting>
        <x14:conditionalFormatting xmlns:xm="http://schemas.microsoft.com/office/excel/2006/main">
          <x14:cfRule type="expression" priority="5" id="{9E3CEC5A-36FC-4F8F-B49B-07C1ABD7826A}">
            <xm:f>$B$57 &gt; Limits!$B$32</xm:f>
            <x14:dxf>
              <fill>
                <patternFill>
                  <bgColor rgb="FFFF0000"/>
                </patternFill>
              </fill>
            </x14:dxf>
          </x14:cfRule>
          <xm:sqref>B57</xm:sqref>
        </x14:conditionalFormatting>
        <x14:conditionalFormatting xmlns:xm="http://schemas.microsoft.com/office/excel/2006/main">
          <x14:cfRule type="expression" priority="4" id="{3F0BC7F6-921B-4094-B2E4-7364AB076F7B}">
            <xm:f>$AA$65 &gt; Limits!$B$35</xm:f>
            <x14:dxf>
              <fill>
                <patternFill>
                  <bgColor rgb="FFFF0000"/>
                </patternFill>
              </fill>
            </x14:dxf>
          </x14:cfRule>
          <xm:sqref>AA65</xm:sqref>
        </x14:conditionalFormatting>
        <x14:conditionalFormatting xmlns:xm="http://schemas.microsoft.com/office/excel/2006/main">
          <x14:cfRule type="expression" priority="3" id="{8C1D1472-2F1E-4457-8E1E-28F4920D58D6}">
            <xm:f>$AA$79 &gt; Limits!$B$36</xm:f>
            <x14:dxf>
              <fill>
                <patternFill>
                  <bgColor rgb="FFFF0000"/>
                </patternFill>
              </fill>
            </x14:dxf>
          </x14:cfRule>
          <xm:sqref>AA79</xm:sqref>
        </x14:conditionalFormatting>
        <x14:conditionalFormatting xmlns:xm="http://schemas.microsoft.com/office/excel/2006/main">
          <x14:cfRule type="expression" priority="31" id="{1A0063B0-DD07-482F-AD29-97101421390E}">
            <xm:f>$AA$10&gt;Limits!$B$22</xm:f>
            <x14:dxf>
              <fill>
                <patternFill>
                  <bgColor rgb="FFFF0000"/>
                </patternFill>
              </fill>
            </x14:dxf>
          </x14:cfRule>
          <xm:sqref>AA10</xm:sqref>
        </x14:conditionalFormatting>
        <x14:conditionalFormatting xmlns:xm="http://schemas.microsoft.com/office/excel/2006/main">
          <x14:cfRule type="expression" priority="32" id="{35F50AE4-3CAF-4B27-891A-D7D6BDFC4B1B}">
            <xm:f>$AA$15&gt;Limits!$B$23</xm:f>
            <x14:dxf>
              <fill>
                <patternFill>
                  <bgColor rgb="FFFF0000"/>
                </patternFill>
              </fill>
            </x14:dxf>
          </x14:cfRule>
          <xm:sqref>AA15</xm:sqref>
        </x14:conditionalFormatting>
        <x14:conditionalFormatting xmlns:xm="http://schemas.microsoft.com/office/excel/2006/main">
          <x14:cfRule type="expression" priority="33" id="{C16DC63E-E42D-4CAC-B481-A23EF810A9E0}">
            <xm:f>$AA$21 &gt; Limits!$B$24</xm:f>
            <x14:dxf>
              <fill>
                <patternFill>
                  <bgColor rgb="FFFF0000"/>
                </patternFill>
              </fill>
            </x14:dxf>
          </x14:cfRule>
          <xm:sqref>AA21</xm:sqref>
        </x14:conditionalFormatting>
        <x14:conditionalFormatting xmlns:xm="http://schemas.microsoft.com/office/excel/2006/main">
          <x14:cfRule type="expression" priority="34" id="{A13D8320-3819-43F1-AA0F-37B8EA5E9A6A}">
            <xm:f>$AA$12 &gt; Limits!$B$25</xm:f>
            <x14:dxf>
              <fill>
                <patternFill>
                  <bgColor rgb="FFFF0000"/>
                </patternFill>
              </fill>
            </x14:dxf>
          </x14:cfRule>
          <xm:sqref>AA12</xm:sqref>
        </x14:conditionalFormatting>
        <x14:conditionalFormatting xmlns:xm="http://schemas.microsoft.com/office/excel/2006/main">
          <x14:cfRule type="expression" priority="35" id="{AB1B5763-4E5C-4A38-84B0-4AAF10F52CBE}">
            <xm:f>$AA$24 &gt; Limits!$B$27</xm:f>
            <x14:dxf>
              <fill>
                <patternFill>
                  <bgColor rgb="FFFF0000"/>
                </patternFill>
              </fill>
            </x14:dxf>
          </x14:cfRule>
          <xm:sqref>AA24</xm:sqref>
        </x14:conditionalFormatting>
        <x14:conditionalFormatting xmlns:xm="http://schemas.microsoft.com/office/excel/2006/main">
          <x14:cfRule type="expression" priority="36" id="{898CF90B-A7FE-49CC-AACE-9D800DF1E072}">
            <xm:f>$AA$27 &gt; Limits!$B$26</xm:f>
            <x14:dxf>
              <fill>
                <patternFill>
                  <bgColor rgb="FFFF0000"/>
                </patternFill>
              </fill>
            </x14:dxf>
          </x14:cfRule>
          <xm:sqref>AA27</xm:sqref>
        </x14:conditionalFormatting>
        <x14:conditionalFormatting xmlns:xm="http://schemas.microsoft.com/office/excel/2006/main">
          <x14:cfRule type="expression" priority="37" id="{351274EC-E6D3-4AA7-8D02-7CAD6675210C}">
            <xm:f>$P$43 &gt; Limits!$B$28</xm:f>
            <x14:dxf>
              <fill>
                <patternFill>
                  <bgColor rgb="FFFF0000"/>
                </patternFill>
              </fill>
            </x14:dxf>
          </x14:cfRule>
          <xm:sqref>AA42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C9:M21"/>
  <sheetViews>
    <sheetView workbookViewId="0">
      <selection activeCell="C20" sqref="C20"/>
    </sheetView>
  </sheetViews>
  <sheetFormatPr baseColWidth="10" defaultColWidth="8.88671875" defaultRowHeight="14.4" x14ac:dyDescent="0.3"/>
  <sheetData>
    <row r="9" spans="3:13" ht="15" thickBot="1" x14ac:dyDescent="0.35"/>
    <row r="10" spans="3:13" ht="15.6" thickTop="1" thickBot="1" x14ac:dyDescent="0.35">
      <c r="C10" s="56">
        <v>40</v>
      </c>
    </row>
    <row r="11" spans="3:13" ht="15" thickTop="1" x14ac:dyDescent="0.3"/>
    <row r="12" spans="3:13" ht="15" thickBot="1" x14ac:dyDescent="0.35"/>
    <row r="13" spans="3:13" ht="15.6" thickTop="1" thickBot="1" x14ac:dyDescent="0.35">
      <c r="M13" s="49">
        <f>IF(J16=0,C20,C10)</f>
        <v>40</v>
      </c>
    </row>
    <row r="14" spans="3:13" ht="15" thickTop="1" x14ac:dyDescent="0.3"/>
    <row r="15" spans="3:13" ht="15" thickBot="1" x14ac:dyDescent="0.35"/>
    <row r="16" spans="3:13" ht="15.6" thickTop="1" thickBot="1" x14ac:dyDescent="0.35">
      <c r="J16" s="56">
        <v>0</v>
      </c>
    </row>
    <row r="17" spans="3:3" ht="15" thickTop="1" x14ac:dyDescent="0.3"/>
    <row r="19" spans="3:3" ht="15" thickBot="1" x14ac:dyDescent="0.35"/>
    <row r="20" spans="3:3" ht="15.6" thickTop="1" thickBot="1" x14ac:dyDescent="0.35">
      <c r="C20" s="54">
        <v>40</v>
      </c>
    </row>
    <row r="21" spans="3:3" ht="15" thickTop="1" x14ac:dyDescent="0.3"/>
  </sheetData>
  <dataValidations count="3">
    <dataValidation type="decimal" allowBlank="1" showInputMessage="1" showErrorMessage="1" errorTitle="Invalid XOSC Frequency" error="XOSC is valid between 8 MHz and 44 MHz." promptTitle="XTAL Frequency Range" prompt="XTAL is valid between 8 MHz and 44 MHz." sqref="C20" xr:uid="{00000000-0002-0000-0100-000000000000}">
      <formula1>8</formula1>
      <formula2>44</formula2>
    </dataValidation>
    <dataValidation type="list" allowBlank="1" showInputMessage="1" showErrorMessage="1" promptTitle="XOSC Selection" prompt="Selects between XTAL (oscillator) and EXTAL (external pin)." sqref="J16" xr:uid="{00000000-0002-0000-0100-000001000000}">
      <formula1>"0,1"</formula1>
    </dataValidation>
    <dataValidation type="decimal" allowBlank="1" showInputMessage="1" showErrorMessage="1" promptTitle="EXTAL" prompt="You can drive a signal into the EXTAL pin instead of an oscillator connected to XTAL/EXTAL pins. Must be at or below 40 MHz." sqref="C10" xr:uid="{00000000-0002-0000-0100-000002000000}">
      <formula1>0</formula1>
      <formula2>40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E6:R114"/>
  <sheetViews>
    <sheetView topLeftCell="A7" zoomScale="53" zoomScaleNormal="53" workbookViewId="0">
      <selection activeCell="H7" sqref="H7"/>
    </sheetView>
  </sheetViews>
  <sheetFormatPr baseColWidth="10" defaultColWidth="8.88671875" defaultRowHeight="14.4" x14ac:dyDescent="0.3"/>
  <cols>
    <col min="18" max="18" width="11.5546875" customWidth="1"/>
  </cols>
  <sheetData>
    <row r="6" spans="5:18" x14ac:dyDescent="0.3">
      <c r="G6" s="36">
        <f>Tree!AA15</f>
        <v>45</v>
      </c>
      <c r="J6" s="36">
        <f>Tree!AA12</f>
        <v>90</v>
      </c>
      <c r="M6" s="36">
        <f>Tree!AA21</f>
        <v>160</v>
      </c>
      <c r="P6" s="36">
        <f>Tree!E26</f>
        <v>16</v>
      </c>
      <c r="R6" s="36">
        <f>Tree!AA27</f>
        <v>80</v>
      </c>
    </row>
    <row r="15" spans="5:18" x14ac:dyDescent="0.3">
      <c r="E15" s="36">
        <f>Tree!AA56</f>
        <v>80</v>
      </c>
    </row>
    <row r="19" spans="18:18" x14ac:dyDescent="0.3">
      <c r="R19" s="36">
        <f>R6</f>
        <v>80</v>
      </c>
    </row>
    <row r="25" spans="18:18" x14ac:dyDescent="0.3">
      <c r="R25" s="36" t="e">
        <f>Tree!#REF!</f>
        <v>#REF!</v>
      </c>
    </row>
    <row r="32" spans="18:18" x14ac:dyDescent="0.3">
      <c r="R32" s="36">
        <f>Tree!AA65</f>
        <v>45</v>
      </c>
    </row>
    <row r="33" spans="5:18" x14ac:dyDescent="0.3">
      <c r="R33" s="36">
        <f>Tree!$AA$79</f>
        <v>45</v>
      </c>
    </row>
    <row r="34" spans="5:18" x14ac:dyDescent="0.3">
      <c r="E34" s="36">
        <f>Tree!B57</f>
        <v>80</v>
      </c>
    </row>
    <row r="36" spans="5:18" x14ac:dyDescent="0.3">
      <c r="E36" s="36">
        <f>Tree!AA24</f>
        <v>16</v>
      </c>
    </row>
    <row r="43" spans="5:18" x14ac:dyDescent="0.3">
      <c r="J43" s="37"/>
      <c r="M43" s="37"/>
    </row>
    <row r="45" spans="5:18" x14ac:dyDescent="0.3">
      <c r="R45" s="36">
        <f>Tree!AA42</f>
        <v>20</v>
      </c>
    </row>
    <row r="66" spans="7:18" x14ac:dyDescent="0.3">
      <c r="R66" s="36">
        <f>Tree!AA10</f>
        <v>180</v>
      </c>
    </row>
    <row r="67" spans="7:18" x14ac:dyDescent="0.3">
      <c r="G67" s="37"/>
      <c r="J67" s="37"/>
      <c r="R67" s="37"/>
    </row>
    <row r="70" spans="7:18" x14ac:dyDescent="0.3">
      <c r="M70" s="37"/>
      <c r="P70" s="37"/>
    </row>
    <row r="114" spans="7:16" x14ac:dyDescent="0.3">
      <c r="G114" s="36">
        <f>Tree!AA15</f>
        <v>45</v>
      </c>
      <c r="J114" s="36">
        <f>Tree!AA12</f>
        <v>90</v>
      </c>
      <c r="M114" s="36">
        <f>Tree!AA21</f>
        <v>160</v>
      </c>
      <c r="P114" s="36">
        <f>P6</f>
        <v>16</v>
      </c>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0" id="{AF8C7A0C-A3C1-40A4-8501-6A586DC807DD}">
            <xm:f>$E$15 &gt; Limits!$B$33</xm:f>
            <x14:dxf>
              <fill>
                <patternFill>
                  <bgColor rgb="FFFF0000"/>
                </patternFill>
              </fill>
            </x14:dxf>
          </x14:cfRule>
          <xm:sqref>E15</xm:sqref>
        </x14:conditionalFormatting>
        <x14:conditionalFormatting xmlns:xm="http://schemas.microsoft.com/office/excel/2006/main">
          <x14:cfRule type="expression" priority="9" id="{30579279-D133-4081-9183-7140A619039D}">
            <xm:f>$R$25 &gt; Limits!$B$31</xm:f>
            <x14:dxf>
              <fill>
                <patternFill>
                  <bgColor rgb="FFFF0000"/>
                </patternFill>
              </fill>
            </x14:dxf>
          </x14:cfRule>
          <xm:sqref>R25</xm:sqref>
        </x14:conditionalFormatting>
        <x14:conditionalFormatting xmlns:xm="http://schemas.microsoft.com/office/excel/2006/main">
          <x14:cfRule type="expression" priority="8" id="{4F6AE8C8-17B4-47F5-9748-5EF7FE4FA8D7}">
            <xm:f>$R$32 &gt; Limits!$B$35</xm:f>
            <x14:dxf>
              <fill>
                <patternFill>
                  <bgColor rgb="FFFF0000"/>
                </patternFill>
              </fill>
            </x14:dxf>
          </x14:cfRule>
          <xm:sqref>R32</xm:sqref>
        </x14:conditionalFormatting>
        <x14:conditionalFormatting xmlns:xm="http://schemas.microsoft.com/office/excel/2006/main">
          <x14:cfRule type="expression" priority="7" id="{C53B85A6-1662-41EA-A3F3-1247FBDD6331}">
            <xm:f>$R$33 &gt; Limits!$B$36</xm:f>
            <x14:dxf>
              <fill>
                <patternFill>
                  <bgColor rgb="FFFF0000"/>
                </patternFill>
              </fill>
            </x14:dxf>
          </x14:cfRule>
          <xm:sqref>R33</xm:sqref>
        </x14:conditionalFormatting>
        <x14:conditionalFormatting xmlns:xm="http://schemas.microsoft.com/office/excel/2006/main">
          <x14:cfRule type="expression" priority="6" id="{1F0C1B8D-23B1-455F-8112-69390F27CB79}">
            <xm:f>$E$34 &gt; Limits!$B$32</xm:f>
            <x14:dxf>
              <fill>
                <patternFill>
                  <bgColor rgb="FFFF0000"/>
                </patternFill>
              </fill>
            </x14:dxf>
          </x14:cfRule>
          <xm:sqref>E34</xm:sqref>
        </x14:conditionalFormatting>
        <x14:conditionalFormatting xmlns:xm="http://schemas.microsoft.com/office/excel/2006/main">
          <x14:cfRule type="expression" priority="38" id="{AF2D7204-62D0-483E-9E3B-AF8EFF620114}">
            <xm:f>$G$6&gt;Limits!$B$23</xm:f>
            <x14:dxf>
              <fill>
                <patternFill>
                  <bgColor rgb="FFFF0000"/>
                </patternFill>
              </fill>
            </x14:dxf>
          </x14:cfRule>
          <xm:sqref>G6</xm:sqref>
        </x14:conditionalFormatting>
        <x14:conditionalFormatting xmlns:xm="http://schemas.microsoft.com/office/excel/2006/main">
          <x14:cfRule type="expression" priority="39" id="{18CB3F7E-2906-44A6-9EEE-CA1ED8516146}">
            <xm:f>$J$6 &gt; Limits!$B$25</xm:f>
            <x14:dxf>
              <fill>
                <patternFill>
                  <bgColor rgb="FFFF0000"/>
                </patternFill>
              </fill>
            </x14:dxf>
          </x14:cfRule>
          <xm:sqref>J6</xm:sqref>
        </x14:conditionalFormatting>
        <x14:conditionalFormatting xmlns:xm="http://schemas.microsoft.com/office/excel/2006/main">
          <x14:cfRule type="expression" priority="40" id="{FF3052C4-2FFF-471B-B338-62CDE3B29C8F}">
            <xm:f>$M$6 &gt; Limits!$B$24</xm:f>
            <x14:dxf>
              <fill>
                <patternFill>
                  <bgColor rgb="FFFF0000"/>
                </patternFill>
              </fill>
            </x14:dxf>
          </x14:cfRule>
          <xm:sqref>M6</xm:sqref>
        </x14:conditionalFormatting>
        <x14:conditionalFormatting xmlns:xm="http://schemas.microsoft.com/office/excel/2006/main">
          <x14:cfRule type="expression" priority="41" id="{6A2748FD-F16C-4D12-B463-BE28DA983072}">
            <xm:f>$R$6 &gt; Limits!$B$26</xm:f>
            <x14:dxf>
              <fill>
                <patternFill>
                  <bgColor rgb="FFFF0000"/>
                </patternFill>
              </fill>
            </x14:dxf>
          </x14:cfRule>
          <xm:sqref>R6</xm:sqref>
        </x14:conditionalFormatting>
        <x14:conditionalFormatting xmlns:xm="http://schemas.microsoft.com/office/excel/2006/main">
          <x14:cfRule type="expression" priority="42" id="{0B84A74C-0A55-4FC3-80DB-FAC3B153BA25}">
            <xm:f>$E$36 &gt; Limits!$B$27</xm:f>
            <x14:dxf>
              <fill>
                <patternFill>
                  <bgColor rgb="FFFF0000"/>
                </patternFill>
              </fill>
            </x14:dxf>
          </x14:cfRule>
          <xm:sqref>E36</xm:sqref>
        </x14:conditionalFormatting>
        <x14:conditionalFormatting xmlns:xm="http://schemas.microsoft.com/office/excel/2006/main">
          <x14:cfRule type="expression" priority="43" id="{CF583E74-62A6-401A-BBB4-EE4301178909}">
            <xm:f>$R$66 &gt; Limits!$B$22</xm:f>
            <x14:dxf>
              <fill>
                <patternFill>
                  <bgColor rgb="FFFF0000"/>
                </patternFill>
              </fill>
            </x14:dxf>
          </x14:cfRule>
          <xm:sqref>R66</xm:sqref>
        </x14:conditionalFormatting>
        <x14:conditionalFormatting xmlns:xm="http://schemas.microsoft.com/office/excel/2006/main">
          <x14:cfRule type="expression" priority="44" id="{96961732-56E2-430B-B245-00874B9E5CCA}">
            <xm:f>$G$114 &gt; Limits!$B$23</xm:f>
            <x14:dxf>
              <fill>
                <patternFill>
                  <bgColor rgb="FFFF0000"/>
                </patternFill>
              </fill>
            </x14:dxf>
          </x14:cfRule>
          <xm:sqref>G114</xm:sqref>
        </x14:conditionalFormatting>
        <x14:conditionalFormatting xmlns:xm="http://schemas.microsoft.com/office/excel/2006/main">
          <x14:cfRule type="expression" priority="45" id="{A36A1B68-B198-44D3-999A-88D73F511772}">
            <xm:f>$J$114 &gt; Limits!$B$25</xm:f>
            <x14:dxf>
              <fill>
                <patternFill>
                  <bgColor rgb="FFFF0000"/>
                </patternFill>
              </fill>
            </x14:dxf>
          </x14:cfRule>
          <xm:sqref>J114</xm:sqref>
        </x14:conditionalFormatting>
        <x14:conditionalFormatting xmlns:xm="http://schemas.microsoft.com/office/excel/2006/main">
          <x14:cfRule type="expression" priority="46" id="{9190174E-0A1D-495D-92E4-E9DC2909C67D}">
            <xm:f>$M$114 &gt; Limits!$B$24</xm:f>
            <x14:dxf>
              <fill>
                <patternFill>
                  <bgColor rgb="FFFF0000"/>
                </patternFill>
              </fill>
            </x14:dxf>
          </x14:cfRule>
          <xm:sqref>M114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F12:AH86"/>
  <sheetViews>
    <sheetView zoomScale="85" zoomScaleNormal="85" workbookViewId="0">
      <selection activeCell="B12" sqref="B12"/>
    </sheetView>
  </sheetViews>
  <sheetFormatPr baseColWidth="10" defaultColWidth="8.88671875" defaultRowHeight="14.4" x14ac:dyDescent="0.3"/>
  <sheetData>
    <row r="12" spans="18:18" ht="15" thickBot="1" x14ac:dyDescent="0.35"/>
    <row r="13" spans="18:18" ht="15.6" thickTop="1" thickBot="1" x14ac:dyDescent="0.35">
      <c r="R13" s="49">
        <f>IF(U17=0,AD17,AD17/2)</f>
        <v>10</v>
      </c>
    </row>
    <row r="14" spans="18:18" ht="15" thickTop="1" x14ac:dyDescent="0.3"/>
    <row r="16" spans="18:18" ht="15" thickBot="1" x14ac:dyDescent="0.35"/>
    <row r="17" spans="14:34" ht="15.6" thickTop="1" thickBot="1" x14ac:dyDescent="0.35">
      <c r="N17" s="49">
        <f>R13/2</f>
        <v>5</v>
      </c>
      <c r="U17" s="49">
        <f>IF(OR(AD17=20,AD17=26),1,0)</f>
        <v>1</v>
      </c>
      <c r="AD17" s="49">
        <f>IF(OR(AH17=10,AH17=13,AH17=20,AH17=26),AH17,0)</f>
        <v>20</v>
      </c>
      <c r="AH17" s="49">
        <f>'Peripheral Domains'!$R$45</f>
        <v>20</v>
      </c>
    </row>
    <row r="18" spans="14:34" ht="15" thickTop="1" x14ac:dyDescent="0.3"/>
    <row r="20" spans="14:34" ht="15" thickBot="1" x14ac:dyDescent="0.35"/>
    <row r="21" spans="14:34" ht="15.6" thickTop="1" thickBot="1" x14ac:dyDescent="0.35">
      <c r="S21" s="49">
        <f>AA83</f>
        <v>320</v>
      </c>
    </row>
    <row r="22" spans="14:34" ht="15.6" thickTop="1" thickBot="1" x14ac:dyDescent="0.35"/>
    <row r="23" spans="14:34" ht="15.6" thickTop="1" thickBot="1" x14ac:dyDescent="0.35">
      <c r="S23" s="49">
        <f>IF(Y33=0,S21,0)</f>
        <v>320</v>
      </c>
    </row>
    <row r="24" spans="14:34" ht="15.6" thickTop="1" thickBot="1" x14ac:dyDescent="0.35"/>
    <row r="25" spans="14:34" ht="15.6" thickTop="1" thickBot="1" x14ac:dyDescent="0.35">
      <c r="S25" s="49">
        <f>AA83</f>
        <v>320</v>
      </c>
    </row>
    <row r="26" spans="14:34" ht="15.6" thickTop="1" thickBot="1" x14ac:dyDescent="0.35"/>
    <row r="27" spans="14:34" ht="15.6" thickTop="1" thickBot="1" x14ac:dyDescent="0.35">
      <c r="S27" s="49">
        <f>IF(Y33=0,S21,0)</f>
        <v>320</v>
      </c>
    </row>
    <row r="28" spans="14:34" ht="15.6" thickTop="1" thickBot="1" x14ac:dyDescent="0.35"/>
    <row r="29" spans="14:34" ht="15.6" thickTop="1" thickBot="1" x14ac:dyDescent="0.35">
      <c r="S29" s="49">
        <f>AA83</f>
        <v>320</v>
      </c>
    </row>
    <row r="30" spans="14:34" ht="15.6" thickTop="1" thickBot="1" x14ac:dyDescent="0.35"/>
    <row r="31" spans="14:34" ht="15.6" thickTop="1" thickBot="1" x14ac:dyDescent="0.35">
      <c r="S31" s="49">
        <f>IF(Y33=0,S21,0)</f>
        <v>320</v>
      </c>
    </row>
    <row r="32" spans="14:34" ht="15.6" thickTop="1" thickBot="1" x14ac:dyDescent="0.35"/>
    <row r="33" spans="16:25" ht="15.6" thickTop="1" thickBot="1" x14ac:dyDescent="0.35">
      <c r="S33" s="49">
        <f>AA83</f>
        <v>320</v>
      </c>
      <c r="Y33" s="56">
        <v>0</v>
      </c>
    </row>
    <row r="34" spans="16:25" ht="15.6" thickTop="1" thickBot="1" x14ac:dyDescent="0.35"/>
    <row r="35" spans="16:25" ht="15.6" thickTop="1" thickBot="1" x14ac:dyDescent="0.35">
      <c r="S35" s="49">
        <f>IF(Y33=0,S21,0)</f>
        <v>320</v>
      </c>
    </row>
    <row r="36" spans="16:25" ht="15" thickTop="1" x14ac:dyDescent="0.3"/>
    <row r="42" spans="16:25" ht="15" thickBot="1" x14ac:dyDescent="0.35"/>
    <row r="43" spans="16:25" ht="15.6" thickTop="1" thickBot="1" x14ac:dyDescent="0.35">
      <c r="P43" s="49">
        <f>IF(R46=0,N17,S21)</f>
        <v>320</v>
      </c>
    </row>
    <row r="44" spans="16:25" ht="15" thickTop="1" x14ac:dyDescent="0.3"/>
    <row r="45" spans="16:25" ht="15" thickBot="1" x14ac:dyDescent="0.35"/>
    <row r="46" spans="16:25" ht="15.6" thickTop="1" thickBot="1" x14ac:dyDescent="0.35">
      <c r="R46" s="56">
        <v>1</v>
      </c>
    </row>
    <row r="47" spans="16:25" ht="15" thickTop="1" x14ac:dyDescent="0.3"/>
    <row r="51" spans="8:18" ht="15" thickBot="1" x14ac:dyDescent="0.35"/>
    <row r="52" spans="8:18" ht="15.6" thickTop="1" thickBot="1" x14ac:dyDescent="0.35">
      <c r="P52" s="49">
        <f>IF(R55=0,N17,S21)</f>
        <v>320</v>
      </c>
    </row>
    <row r="53" spans="8:18" ht="15" thickTop="1" x14ac:dyDescent="0.3"/>
    <row r="54" spans="8:18" ht="15" thickBot="1" x14ac:dyDescent="0.35"/>
    <row r="55" spans="8:18" ht="15.6" thickTop="1" thickBot="1" x14ac:dyDescent="0.35">
      <c r="R55" s="56">
        <v>1</v>
      </c>
    </row>
    <row r="56" spans="8:18" ht="15" thickTop="1" x14ac:dyDescent="0.3"/>
    <row r="60" spans="8:18" ht="15" thickBot="1" x14ac:dyDescent="0.35"/>
    <row r="61" spans="8:18" ht="15.6" thickTop="1" thickBot="1" x14ac:dyDescent="0.35">
      <c r="H61" s="49">
        <f>'Peripheral Domains'!G6</f>
        <v>45</v>
      </c>
    </row>
    <row r="62" spans="8:18" ht="15" thickTop="1" x14ac:dyDescent="0.3"/>
    <row r="81" spans="6:27" ht="15" thickBot="1" x14ac:dyDescent="0.35"/>
    <row r="82" spans="6:27" ht="15.6" thickTop="1" thickBot="1" x14ac:dyDescent="0.35">
      <c r="K82" s="49">
        <f>F83/(I85+1)</f>
        <v>20</v>
      </c>
      <c r="R82" s="49">
        <f>IF(P85=0,0,K82*(P85+1-0.5*M85))</f>
        <v>640</v>
      </c>
      <c r="V82" s="49">
        <f>R82/2</f>
        <v>320</v>
      </c>
    </row>
    <row r="83" spans="6:27" ht="15.6" thickTop="1" thickBot="1" x14ac:dyDescent="0.35">
      <c r="F83" s="49">
        <f>AD17</f>
        <v>20</v>
      </c>
      <c r="AA83" s="49">
        <f>IF(X85="Off",0,V82)</f>
        <v>320</v>
      </c>
    </row>
    <row r="84" spans="6:27" ht="15.6" thickTop="1" thickBot="1" x14ac:dyDescent="0.35"/>
    <row r="85" spans="6:27" ht="15.6" thickTop="1" thickBot="1" x14ac:dyDescent="0.35">
      <c r="I85" s="56">
        <v>0</v>
      </c>
      <c r="M85" s="56">
        <v>0</v>
      </c>
      <c r="P85" s="56">
        <v>31</v>
      </c>
      <c r="X85" s="56" t="s">
        <v>231</v>
      </c>
    </row>
    <row r="86" spans="6:27" ht="15" thickTop="1" x14ac:dyDescent="0.3"/>
  </sheetData>
  <conditionalFormatting sqref="AA83">
    <cfRule type="expression" dxfId="34" priority="1">
      <formula>OR($AA$83=0,$X$85="Off")</formula>
    </cfRule>
  </conditionalFormatting>
  <dataValidations count="16">
    <dataValidation allowBlank="1" showInputMessage="1" showErrorMessage="1" promptTitle="LFAST System Clock" prompt="Even though lfast_sys_clk can be any frequency under 26 MHz, the LFAST is only in spec if it operates at 10, 13, 20, or 26 MHz.  So this tool blocks any LFAST input other than 10/13/20/26 MHz.  MPC5744P does not actually filter PD_LFAST_PLL." sqref="AD17" xr:uid="{00000000-0002-0000-0300-000000000000}"/>
    <dataValidation allowBlank="1" showInputMessage="1" showErrorMessage="1" promptTitle="LFAST PLL Input" prompt="LFAST input should be either 10/20 MHz or 13/26 MHz. 10/20 MHz option recommended." sqref="AH17 F83" xr:uid="{00000000-0002-0000-0300-000001000000}"/>
    <dataValidation allowBlank="1" showInputMessage="1" showErrorMessage="1" promptTitle="LFAST Slow Speed Clock" prompt="10/13 and 20/26 MHz input generates 4 phases.  10/13 and 20/26 generates the same phase frequency because if lfast_sys_clk is 20/26 MHz, MCR[LSSEL] must be 1 to divide lfast_sys_clk by 2 before feeding into 4-phase generator." sqref="U17" xr:uid="{00000000-0002-0000-0300-000002000000}"/>
    <dataValidation allowBlank="1" showInputMessage="1" showErrorMessage="1" promptTitle="LFAST Slow Speed Phase Frequency" prompt="&quot;Slow speed 4-phase generator&quot; produces four waveforms of frequency &quot;LFAST Slow Speed Phase Input&quot;/2, offset by 90 deg each. This cell represents the frequency of the four outputs coming out of &quot;Slow speed 4-phase generator&quot;." sqref="N17" xr:uid="{00000000-0002-0000-0300-000003000000}"/>
    <dataValidation allowBlank="1" showInputMessage="1" showErrorMessage="1" promptTitle="LFAST Phases" prompt="These phases are used in both 8-phase and 4-phase modes. When in 8-phase mode, each PLL phase is offset by 45 deg. When in 4-phase mode, each PLL phase is offset by 90 deg." sqref="S21 S25 S29 S33" xr:uid="{00000000-0002-0000-0300-000004000000}"/>
    <dataValidation allowBlank="1" showInputMessage="1" showErrorMessage="1" promptTitle="LFAST Phases" prompt="These phases are used in 8-phase mode. When in 8-phase mode, each PLL phase is offset by 45 deg. When in 4-phase mode, these outputs are 0." sqref="S23 S27 S31 S35" xr:uid="{00000000-0002-0000-0300-000005000000}"/>
    <dataValidation type="list" allowBlank="1" showInputMessage="1" showErrorMessage="1" promptTitle="What is this?" prompt="Only valid in high speed mode. LFAST PLL can output 8 phases or 4 phases. Must be programmed when Rx is off. If four phases used, uses phase 0, 2, 4, and 6." sqref="Y33" xr:uid="{00000000-0002-0000-0300-000006000000}">
      <formula1>"0,1"</formula1>
    </dataValidation>
    <dataValidation type="list" allowBlank="1" showInputMessage="1" showErrorMessage="1" promptTitle="Receiver Mode Controller" prompt="The LFAST receiver can select between high speed mode (PLL) and low speed mode (lfast_sys_clk)." sqref="R46" xr:uid="{00000000-0002-0000-0300-000007000000}">
      <formula1>"0,1"</formula1>
    </dataValidation>
    <dataValidation type="list" allowBlank="1" showInputMessage="1" showErrorMessage="1" promptTitle="Transmitter Mode Controller" prompt="The LFAST transmitter can select between high speed mode (PLL) and low speed mode (lfast_sys_clk)." sqref="R55" xr:uid="{00000000-0002-0000-0300-000008000000}">
      <formula1>"0,1"</formula1>
    </dataValidation>
    <dataValidation allowBlank="1" showInputMessage="1" showErrorMessage="1" promptTitle="LFAST PLL Output" prompt="The max LFAST PLL frequency is 320 MHz." sqref="AA83" xr:uid="{00000000-0002-0000-0300-000009000000}"/>
    <dataValidation type="list" allowBlank="1" showInputMessage="1" showErrorMessage="1" sqref="I85" xr:uid="{00000000-0002-0000-0300-00000A000000}">
      <formula1>"0,1,2,3"</formula1>
    </dataValidation>
    <dataValidation allowBlank="1" showInputMessage="1" showErrorMessage="1" promptTitle="LFAST Input" prompt="This tool sets the LFAST PLL output frequency to 0 if the input is anything other than 10, 13, 20, or 26." sqref="K82" xr:uid="{00000000-0002-0000-0300-00000B000000}"/>
    <dataValidation type="list" allowBlank="1" showInputMessage="1" showErrorMessage="1" promptTitle="What is this?" prompt="RM says when enabled, divides VCO output by factor FBDIV+0.5. But because this divider is a feedback divider, the effective result is actually a multipler of FBDIV-0.5. So if FBDIV = 10 and FDIVEN = 1, then effective divider is 9.5." sqref="M85" xr:uid="{00000000-0002-0000-0300-00000C000000}">
      <formula1>"0,1"</formula1>
    </dataValidation>
    <dataValidation type="list" allowBlank="1" showInputMessage="1" showErrorMessage="1" sqref="P85" xr:uid="{00000000-0002-0000-0300-00000D000000}">
      <formula1>"0,11,12,13,14,15,16,17,18,19,20,21,22,23,24,25,26,27,28,29,30,31"</formula1>
    </dataValidation>
    <dataValidation type="list" allowBlank="1" showInputMessage="1" showErrorMessage="1" sqref="X85" xr:uid="{00000000-0002-0000-0300-00000E000000}">
      <formula1>"On,Off"</formula1>
    </dataValidation>
    <dataValidation allowBlank="1" showInputMessage="1" showErrorMessage="1" promptTitle="LFAST PLL VCO" prompt="The max LFAST VCO frequency is 640 MHz." sqref="R82" xr:uid="{00000000-0002-0000-0300-00000F000000}"/>
  </dataValidations>
  <pageMargins left="0.7" right="0.7" top="0.75" bottom="0.75" header="0.3" footer="0.3"/>
  <pageSetup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xpression" priority="3" id="{7DE4BB8C-ECCC-4B7E-8E3D-17D4011A80C5}">
            <xm:f>$AA$83&gt;Limits!$B$29</xm:f>
            <x14:dxf>
              <fill>
                <patternFill>
                  <bgColor rgb="FFFF0000"/>
                </patternFill>
              </fill>
            </x14:dxf>
          </x14:cfRule>
          <x14:cfRule type="expression" priority="2" id="{16DF7450-B8BD-45C0-AADF-3926C10911C1}">
            <xm:f>$AA$83&gt;Limits!$B$30</xm:f>
            <x14:dxf>
              <fill>
                <patternFill patternType="lightDown">
                  <bgColor rgb="FFFF0000"/>
                </patternFill>
              </fill>
            </x14:dxf>
          </x14:cfRule>
          <xm:sqref>AA83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C7:T22"/>
  <sheetViews>
    <sheetView zoomScaleNormal="100" workbookViewId="0">
      <selection activeCell="L17" sqref="L17"/>
    </sheetView>
  </sheetViews>
  <sheetFormatPr baseColWidth="10" defaultColWidth="8.88671875" defaultRowHeight="14.4" x14ac:dyDescent="0.3"/>
  <sheetData>
    <row r="7" spans="3:20" x14ac:dyDescent="0.3">
      <c r="S7" s="5"/>
      <c r="T7" t="s">
        <v>12</v>
      </c>
    </row>
    <row r="8" spans="3:20" x14ac:dyDescent="0.3">
      <c r="S8" s="7"/>
      <c r="T8" t="s">
        <v>67</v>
      </c>
    </row>
    <row r="11" spans="3:20" ht="15" thickBot="1" x14ac:dyDescent="0.35">
      <c r="C11" s="36">
        <f>IF(Tree!E22=0,Tree!$E$26,Tree!D8)</f>
        <v>40</v>
      </c>
      <c r="I11" s="36">
        <f>IF(G13=0,0,E12/G13)</f>
        <v>10</v>
      </c>
      <c r="M11" s="36">
        <f>I11*K13</f>
        <v>320</v>
      </c>
      <c r="S11" s="39">
        <f>IF(O13=0,0,M11/O13)</f>
        <v>160</v>
      </c>
    </row>
    <row r="12" spans="3:20" ht="15.6" thickTop="1" thickBot="1" x14ac:dyDescent="0.35">
      <c r="E12" s="49">
        <f>IF(D21=1,C11,0)</f>
        <v>40</v>
      </c>
    </row>
    <row r="13" spans="3:20" ht="15.6" thickTop="1" thickBot="1" x14ac:dyDescent="0.35">
      <c r="E13" s="38"/>
      <c r="G13" s="57">
        <v>4</v>
      </c>
      <c r="K13" s="56">
        <v>32</v>
      </c>
      <c r="O13" s="56">
        <v>2</v>
      </c>
    </row>
    <row r="14" spans="3:20" ht="15" thickTop="1" x14ac:dyDescent="0.3"/>
    <row r="17" spans="4:19" x14ac:dyDescent="0.3">
      <c r="S17" s="39">
        <f>IF(O19=0,0,M11/O19)</f>
        <v>35.555555555555557</v>
      </c>
    </row>
    <row r="18" spans="4:19" ht="15" thickBot="1" x14ac:dyDescent="0.35"/>
    <row r="19" spans="4:19" ht="15.6" thickTop="1" thickBot="1" x14ac:dyDescent="0.35">
      <c r="O19" s="56">
        <v>9</v>
      </c>
    </row>
    <row r="20" spans="4:19" ht="15.6" thickTop="1" thickBot="1" x14ac:dyDescent="0.35"/>
    <row r="21" spans="4:19" ht="15.6" thickTop="1" thickBot="1" x14ac:dyDescent="0.35">
      <c r="D21" s="56">
        <v>1</v>
      </c>
    </row>
    <row r="22" spans="4:19" ht="15" thickTop="1" x14ac:dyDescent="0.3"/>
  </sheetData>
  <conditionalFormatting sqref="S11">
    <cfRule type="expression" dxfId="31" priority="6">
      <formula>$D$21=0</formula>
    </cfRule>
  </conditionalFormatting>
  <conditionalFormatting sqref="S17">
    <cfRule type="expression" dxfId="30" priority="5">
      <formula>$D$21=0</formula>
    </cfRule>
  </conditionalFormatting>
  <conditionalFormatting sqref="C11">
    <cfRule type="expression" dxfId="29" priority="3">
      <formula>$D$21=0</formula>
    </cfRule>
  </conditionalFormatting>
  <conditionalFormatting sqref="I11">
    <cfRule type="expression" dxfId="28" priority="1">
      <formula>$D$21=0</formula>
    </cfRule>
  </conditionalFormatting>
  <dataValidations count="10">
    <dataValidation type="list" showInputMessage="1" showErrorMessage="1" sqref="E13" xr:uid="{00000000-0002-0000-0400-000000000000}">
      <formula1>"0,1,2,3,4,5,6,7"</formula1>
    </dataValidation>
    <dataValidation type="whole" allowBlank="1" showInputMessage="1" showErrorMessage="1" errorTitle="Invalid PLL0 Multiplier" error="PLL0 can multiply reference by any integer between 8 and 127." promptTitle="PLL0 Multiplier" prompt="PLL0 can multiply reference by any integer between 8 and 127." sqref="K13" xr:uid="{00000000-0002-0000-0400-000001000000}">
      <formula1>8</formula1>
      <formula2>127</formula2>
    </dataValidation>
    <dataValidation type="whole" allowBlank="1" showInputMessage="1" showErrorMessage="1" errorTitle="Invalid PLL0_PHI Divider" error="RFDPHI can be any integer between 1 and 63." promptTitle="PLL0_PHI Divider Range" prompt="RFDPHI can be any integer between 1 and 63." sqref="O13" xr:uid="{00000000-0002-0000-0400-000002000000}">
      <formula1>1</formula1>
      <formula2>63</formula2>
    </dataValidation>
    <dataValidation type="whole" allowBlank="1" showInputMessage="1" showErrorMessage="1" errorTitle="Invalid RFDPHI1 Value" error="RFDPHI1 can be any integer between 4 and 15." promptTitle="PLL0_PHI1 Divider Range" prompt="RFDPHI1 can be any integer between 4 and 15." sqref="O19" xr:uid="{00000000-0002-0000-0400-000003000000}">
      <formula1>4</formula1>
      <formula2>15</formula2>
    </dataValidation>
    <dataValidation type="list" allowBlank="1" showInputMessage="1" showErrorMessage="1" sqref="D21" xr:uid="{00000000-0002-0000-0400-000004000000}">
      <formula1>"0,1"</formula1>
    </dataValidation>
    <dataValidation allowBlank="1" showInputMessage="1" showErrorMessage="1" promptTitle="PLL0 Input" prompt="PLL0 must be between 8 and 40 MHz." sqref="C11" xr:uid="{00000000-0002-0000-0400-000005000000}"/>
    <dataValidation allowBlank="1" showInputMessage="1" showErrorMessage="1" promptTitle="PLL0_PHI Limits" prompt="PLL0_PHI must be between 4.76 and 625 MHz and its associated VCO must be between 600 and 1250 MHz." sqref="S11" xr:uid="{00000000-0002-0000-0400-000006000000}"/>
    <dataValidation allowBlank="1" showInputMessage="1" showErrorMessage="1" promptTitle="PLL0_PHI1 Limits" prompt="PLL0_PHI1 is used as reference for PLL1.  It must be between 20 and 156 MHz and its associated VCO must be between 600 and 1250 MHz.  When used as the PLL1 reference, must be between 38 and 78 MHz." sqref="S17" xr:uid="{00000000-0002-0000-0400-000007000000}"/>
    <dataValidation type="list" showInputMessage="1" showErrorMessage="1" promptTitle="PREDIV Values" prompt="When PREDIV is 0, the PLL output is off." sqref="G13" xr:uid="{00000000-0002-0000-0400-000008000000}">
      <formula1>"0,1,2,3,4,5,6,7"</formula1>
    </dataValidation>
    <dataValidation allowBlank="1" showInputMessage="1" showErrorMessage="1" promptTitle="Note" prompt="This frequency must be between 8 and 20 MHz." sqref="I11" xr:uid="{00000000-0002-0000-0400-000009000000}"/>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9" id="{68D659C1-1BED-4A92-B580-89E1C3272789}">
            <xm:f>OR($S$11*$O$13*2 &lt; pll0_phi!$U$5, $S$11*$O$13*2 &gt; pll0_phi!$U$6)</xm:f>
            <x14:dxf>
              <fill>
                <patternFill patternType="lightDown">
                  <bgColor rgb="FFFF0000"/>
                </patternFill>
              </fill>
            </x14:dxf>
          </x14:cfRule>
          <xm:sqref>S11</xm:sqref>
        </x14:conditionalFormatting>
        <x14:conditionalFormatting xmlns:xm="http://schemas.microsoft.com/office/excel/2006/main">
          <x14:cfRule type="expression" priority="7" id="{2EF45D53-C8F2-4759-AF6E-082EFBFCA058}">
            <xm:f>OR($S$17 &gt; pll0_phi1!$V$8, $S$17 &lt; pll0_phi1!$V$7)</xm:f>
            <x14:dxf>
              <fill>
                <patternFill>
                  <bgColor rgb="FFFF0000"/>
                </patternFill>
              </fill>
            </x14:dxf>
          </x14:cfRule>
          <x14:cfRule type="expression" priority="8" id="{352A3DFB-441B-42F9-B544-A4295FBFF5DF}">
            <xm:f>OR($S$17*$O$19*2 &gt;pll0_phi1!$V$6, $S$17*$O$19*2 &lt;pll0_phi1!$V$5)</xm:f>
            <x14:dxf>
              <fill>
                <patternFill patternType="lightDown">
                  <bgColor rgb="FFFF0000"/>
                </patternFill>
              </fill>
            </x14:dxf>
          </x14:cfRule>
          <xm:sqref>S17</xm:sqref>
        </x14:conditionalFormatting>
        <x14:conditionalFormatting xmlns:xm="http://schemas.microsoft.com/office/excel/2006/main">
          <x14:cfRule type="expression" priority="4" id="{200C8C55-377D-4088-B2D6-42AE2B02F67B}">
            <xm:f>OR($C$11&lt;Limits!$B$3, $C$11&gt;Limits!$B$4)</xm:f>
            <x14:dxf>
              <fill>
                <patternFill>
                  <bgColor rgb="FFFF0000"/>
                </patternFill>
              </fill>
            </x14:dxf>
          </x14:cfRule>
          <xm:sqref>C11</xm:sqref>
        </x14:conditionalFormatting>
        <x14:conditionalFormatting xmlns:xm="http://schemas.microsoft.com/office/excel/2006/main">
          <x14:cfRule type="expression" priority="2" id="{1F5A1A0F-01B8-42D1-93C0-B2EADF08A82E}">
            <xm:f>OR($I$11&lt;Limits!$B$5,$I$11&gt;Limits!$B$6)</xm:f>
            <x14:dxf>
              <fill>
                <patternFill>
                  <bgColor rgb="FFFF0000"/>
                </patternFill>
              </fill>
            </x14:dxf>
          </x14:cfRule>
          <xm:sqref>I11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W76"/>
  <sheetViews>
    <sheetView zoomScale="80" zoomScaleNormal="80" workbookViewId="0">
      <pane xSplit="3" ySplit="13" topLeftCell="D49" activePane="bottomRight" state="frozenSplit"/>
      <selection pane="topRight" activeCell="B1" sqref="B1"/>
      <selection pane="bottomLeft" activeCell="A11" sqref="A11"/>
      <selection pane="bottomRight" activeCell="AC9" sqref="AC9"/>
    </sheetView>
  </sheetViews>
  <sheetFormatPr baseColWidth="10" defaultColWidth="8.88671875" defaultRowHeight="14.4" x14ac:dyDescent="0.3"/>
  <cols>
    <col min="3" max="3" width="7.44140625" customWidth="1"/>
    <col min="4" max="4" width="8.88671875" bestFit="1" customWidth="1"/>
    <col min="5" max="11" width="9.109375" customWidth="1"/>
  </cols>
  <sheetData>
    <row r="1" spans="1:127" ht="68.25" customHeight="1" thickTop="1" x14ac:dyDescent="0.3">
      <c r="A1" s="86" t="s">
        <v>54</v>
      </c>
      <c r="B1" s="87"/>
      <c r="C1" s="88"/>
      <c r="D1" s="82" t="s">
        <v>63</v>
      </c>
      <c r="E1" s="83"/>
      <c r="F1" s="83"/>
      <c r="G1" s="83"/>
      <c r="H1" s="83"/>
      <c r="I1" s="83"/>
      <c r="J1" s="83"/>
      <c r="K1" s="83"/>
      <c r="L1" s="83"/>
      <c r="M1" s="83"/>
      <c r="N1" s="83"/>
      <c r="O1" s="83"/>
      <c r="P1" s="83"/>
      <c r="Q1" s="83"/>
      <c r="R1" s="83"/>
      <c r="S1" s="83"/>
      <c r="T1" s="84"/>
      <c r="U1" s="84"/>
      <c r="V1" s="84"/>
      <c r="W1" s="11"/>
      <c r="X1" s="11"/>
      <c r="Y1" s="11"/>
      <c r="Z1" s="11"/>
      <c r="AA1" s="11"/>
      <c r="AB1" s="11"/>
      <c r="AC1" s="11"/>
      <c r="AD1" s="11"/>
      <c r="AE1" s="11"/>
      <c r="AF1" s="11"/>
      <c r="AG1" s="11"/>
    </row>
    <row r="2" spans="1:127" ht="15" thickBot="1" x14ac:dyDescent="0.35">
      <c r="A2" s="89"/>
      <c r="B2" s="90"/>
      <c r="C2" s="91"/>
      <c r="S2" s="42" t="s">
        <v>8</v>
      </c>
      <c r="U2">
        <f>PLL0!C11</f>
        <v>40</v>
      </c>
      <c r="V2" s="78" t="s">
        <v>62</v>
      </c>
      <c r="W2" s="79"/>
      <c r="X2" s="79"/>
      <c r="Y2" s="79"/>
      <c r="Z2" s="79"/>
    </row>
    <row r="3" spans="1:127" ht="16.5" customHeight="1" thickTop="1" thickBot="1" x14ac:dyDescent="0.55000000000000004">
      <c r="A3" s="85" t="s">
        <v>51</v>
      </c>
      <c r="B3" s="85"/>
      <c r="C3" s="56">
        <v>160</v>
      </c>
      <c r="K3" s="4"/>
      <c r="L3" s="4"/>
      <c r="M3" s="15"/>
      <c r="O3" s="4"/>
      <c r="S3" s="42" t="s">
        <v>7</v>
      </c>
      <c r="U3">
        <f>C4</f>
        <v>4</v>
      </c>
      <c r="V3" s="79"/>
      <c r="W3" s="79"/>
      <c r="X3" s="79"/>
      <c r="Y3" s="79"/>
      <c r="Z3" s="79"/>
    </row>
    <row r="4" spans="1:127" ht="15.6" thickTop="1" thickBot="1" x14ac:dyDescent="0.35">
      <c r="A4" s="85" t="s">
        <v>7</v>
      </c>
      <c r="B4" s="85"/>
      <c r="C4" s="56">
        <v>4</v>
      </c>
      <c r="S4" s="42" t="s">
        <v>19</v>
      </c>
      <c r="U4">
        <f>C3</f>
        <v>160</v>
      </c>
      <c r="V4" s="79"/>
      <c r="W4" s="79"/>
      <c r="X4" s="79"/>
      <c r="Y4" s="79"/>
      <c r="Z4" s="79"/>
    </row>
    <row r="5" spans="1:127" ht="15" thickTop="1" x14ac:dyDescent="0.3">
      <c r="A5" s="47"/>
      <c r="B5" s="48"/>
      <c r="S5" t="s">
        <v>2</v>
      </c>
      <c r="U5">
        <f>Limits!$B$7</f>
        <v>600</v>
      </c>
      <c r="V5" s="79"/>
      <c r="W5" s="79"/>
      <c r="X5" s="79"/>
      <c r="Y5" s="79"/>
      <c r="Z5" s="79"/>
    </row>
    <row r="6" spans="1:127" x14ac:dyDescent="0.3">
      <c r="S6" t="s">
        <v>5</v>
      </c>
      <c r="U6">
        <f>Limits!$B$8</f>
        <v>1250</v>
      </c>
      <c r="V6" s="79"/>
      <c r="W6" s="79"/>
      <c r="X6" s="79"/>
      <c r="Y6" s="79"/>
      <c r="Z6" s="79"/>
    </row>
    <row r="7" spans="1:127" ht="23.4" x14ac:dyDescent="0.3">
      <c r="N7" s="5"/>
      <c r="O7" t="s">
        <v>12</v>
      </c>
      <c r="V7" s="10"/>
      <c r="W7" s="10"/>
    </row>
    <row r="8" spans="1:127" ht="25.8" x14ac:dyDescent="0.5">
      <c r="N8" s="7"/>
      <c r="O8" t="s">
        <v>66</v>
      </c>
      <c r="P8" s="4"/>
      <c r="R8" s="10"/>
      <c r="V8" s="10"/>
      <c r="W8" s="10"/>
    </row>
    <row r="9" spans="1:127" ht="26.25" customHeight="1" x14ac:dyDescent="0.3">
      <c r="N9" s="6"/>
      <c r="O9" t="s">
        <v>20</v>
      </c>
    </row>
    <row r="10" spans="1:127" ht="26.25" customHeight="1" x14ac:dyDescent="0.3">
      <c r="A10" s="28" t="s">
        <v>42</v>
      </c>
      <c r="N10" s="18"/>
      <c r="O10" t="s">
        <v>19</v>
      </c>
      <c r="V10" s="10"/>
      <c r="W10" s="10"/>
    </row>
    <row r="11" spans="1:127" ht="30" customHeight="1" x14ac:dyDescent="0.3">
      <c r="D11" s="76" t="s">
        <v>6</v>
      </c>
      <c r="E11" s="77"/>
      <c r="F11" s="77"/>
      <c r="G11" s="77"/>
      <c r="H11" s="77"/>
      <c r="I11" s="77"/>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7"/>
      <c r="BZ11" s="77"/>
      <c r="CA11" s="77"/>
      <c r="CB11" s="77"/>
      <c r="CC11" s="77"/>
      <c r="CD11" s="77"/>
      <c r="CE11" s="77"/>
      <c r="CF11" s="77"/>
      <c r="CG11" s="77"/>
      <c r="CH11" s="77"/>
      <c r="CI11" s="77"/>
      <c r="CJ11" s="77"/>
      <c r="CK11" s="77"/>
      <c r="CL11" s="77"/>
      <c r="CM11" s="77"/>
      <c r="CN11" s="77"/>
      <c r="CO11" s="77"/>
      <c r="CP11" s="77"/>
      <c r="CQ11" s="77"/>
      <c r="CR11" s="77"/>
      <c r="CS11" s="77"/>
      <c r="CT11" s="77"/>
      <c r="CU11" s="77"/>
      <c r="CV11" s="77"/>
      <c r="CW11" s="77"/>
      <c r="CX11" s="77"/>
      <c r="CY11" s="77"/>
      <c r="CZ11" s="77"/>
      <c r="DA11" s="77"/>
      <c r="DB11" s="77"/>
      <c r="DC11" s="77"/>
      <c r="DD11" s="77"/>
      <c r="DE11" s="77"/>
      <c r="DF11" s="77"/>
      <c r="DG11" s="77"/>
      <c r="DH11" s="77"/>
      <c r="DI11" s="77"/>
      <c r="DJ11" s="77"/>
      <c r="DK11" s="77"/>
      <c r="DL11" s="77"/>
      <c r="DM11" s="77"/>
      <c r="DN11" s="77"/>
      <c r="DO11" s="77"/>
      <c r="DP11" s="77"/>
      <c r="DQ11" s="77"/>
      <c r="DR11" s="77"/>
      <c r="DS11" s="77"/>
    </row>
    <row r="12" spans="1:127" x14ac:dyDescent="0.3">
      <c r="D12" s="16" t="str">
        <f>"0x"&amp;DEC2HEX(D13,2)</f>
        <v>0x08</v>
      </c>
      <c r="E12" s="16" t="str">
        <f t="shared" ref="E12:BP12" si="0">"0x"&amp;DEC2HEX(E13,2)</f>
        <v>0x09</v>
      </c>
      <c r="F12" s="16" t="str">
        <f t="shared" si="0"/>
        <v>0x0A</v>
      </c>
      <c r="G12" s="16" t="str">
        <f t="shared" si="0"/>
        <v>0x0B</v>
      </c>
      <c r="H12" s="16" t="str">
        <f t="shared" si="0"/>
        <v>0x0C</v>
      </c>
      <c r="I12" s="16" t="str">
        <f t="shared" si="0"/>
        <v>0x0D</v>
      </c>
      <c r="J12" s="16" t="str">
        <f t="shared" si="0"/>
        <v>0x0E</v>
      </c>
      <c r="K12" s="16" t="str">
        <f t="shared" si="0"/>
        <v>0x0F</v>
      </c>
      <c r="L12" s="16" t="str">
        <f t="shared" si="0"/>
        <v>0x10</v>
      </c>
      <c r="M12" s="16" t="str">
        <f t="shared" si="0"/>
        <v>0x11</v>
      </c>
      <c r="N12" s="16" t="str">
        <f t="shared" si="0"/>
        <v>0x12</v>
      </c>
      <c r="O12" s="16" t="str">
        <f t="shared" si="0"/>
        <v>0x13</v>
      </c>
      <c r="P12" s="16" t="str">
        <f t="shared" si="0"/>
        <v>0x14</v>
      </c>
      <c r="Q12" s="16" t="str">
        <f t="shared" si="0"/>
        <v>0x15</v>
      </c>
      <c r="R12" s="16" t="str">
        <f t="shared" si="0"/>
        <v>0x16</v>
      </c>
      <c r="S12" s="16" t="str">
        <f t="shared" si="0"/>
        <v>0x17</v>
      </c>
      <c r="T12" s="16" t="str">
        <f t="shared" si="0"/>
        <v>0x18</v>
      </c>
      <c r="U12" s="16" t="str">
        <f t="shared" si="0"/>
        <v>0x19</v>
      </c>
      <c r="V12" s="16" t="str">
        <f t="shared" si="0"/>
        <v>0x1A</v>
      </c>
      <c r="W12" s="16" t="str">
        <f t="shared" si="0"/>
        <v>0x1B</v>
      </c>
      <c r="X12" s="16" t="str">
        <f t="shared" si="0"/>
        <v>0x1C</v>
      </c>
      <c r="Y12" s="16" t="str">
        <f t="shared" si="0"/>
        <v>0x1D</v>
      </c>
      <c r="Z12" s="16" t="str">
        <f t="shared" si="0"/>
        <v>0x1E</v>
      </c>
      <c r="AA12" s="16" t="str">
        <f t="shared" si="0"/>
        <v>0x1F</v>
      </c>
      <c r="AB12" s="16" t="str">
        <f t="shared" si="0"/>
        <v>0x20</v>
      </c>
      <c r="AC12" s="16" t="str">
        <f t="shared" si="0"/>
        <v>0x21</v>
      </c>
      <c r="AD12" s="16" t="str">
        <f t="shared" si="0"/>
        <v>0x22</v>
      </c>
      <c r="AE12" s="16" t="str">
        <f t="shared" si="0"/>
        <v>0x23</v>
      </c>
      <c r="AF12" s="16" t="str">
        <f t="shared" si="0"/>
        <v>0x24</v>
      </c>
      <c r="AG12" s="16" t="str">
        <f t="shared" si="0"/>
        <v>0x25</v>
      </c>
      <c r="AH12" s="16" t="str">
        <f t="shared" si="0"/>
        <v>0x26</v>
      </c>
      <c r="AI12" s="16" t="str">
        <f t="shared" si="0"/>
        <v>0x27</v>
      </c>
      <c r="AJ12" s="16" t="str">
        <f t="shared" si="0"/>
        <v>0x28</v>
      </c>
      <c r="AK12" s="16" t="str">
        <f t="shared" si="0"/>
        <v>0x29</v>
      </c>
      <c r="AL12" s="16" t="str">
        <f t="shared" si="0"/>
        <v>0x2A</v>
      </c>
      <c r="AM12" s="16" t="str">
        <f t="shared" si="0"/>
        <v>0x2B</v>
      </c>
      <c r="AN12" s="16" t="str">
        <f t="shared" si="0"/>
        <v>0x2C</v>
      </c>
      <c r="AO12" s="16" t="str">
        <f t="shared" si="0"/>
        <v>0x2D</v>
      </c>
      <c r="AP12" s="16" t="str">
        <f t="shared" si="0"/>
        <v>0x2E</v>
      </c>
      <c r="AQ12" s="16" t="str">
        <f t="shared" si="0"/>
        <v>0x2F</v>
      </c>
      <c r="AR12" s="16" t="str">
        <f t="shared" si="0"/>
        <v>0x30</v>
      </c>
      <c r="AS12" s="16" t="str">
        <f t="shared" si="0"/>
        <v>0x31</v>
      </c>
      <c r="AT12" s="16" t="str">
        <f t="shared" si="0"/>
        <v>0x32</v>
      </c>
      <c r="AU12" s="16" t="str">
        <f t="shared" si="0"/>
        <v>0x33</v>
      </c>
      <c r="AV12" s="16" t="str">
        <f t="shared" si="0"/>
        <v>0x34</v>
      </c>
      <c r="AW12" s="16" t="str">
        <f t="shared" si="0"/>
        <v>0x35</v>
      </c>
      <c r="AX12" s="16" t="str">
        <f t="shared" si="0"/>
        <v>0x36</v>
      </c>
      <c r="AY12" s="16" t="str">
        <f t="shared" si="0"/>
        <v>0x37</v>
      </c>
      <c r="AZ12" s="16" t="str">
        <f t="shared" si="0"/>
        <v>0x38</v>
      </c>
      <c r="BA12" s="16" t="str">
        <f t="shared" si="0"/>
        <v>0x39</v>
      </c>
      <c r="BB12" s="16" t="str">
        <f t="shared" si="0"/>
        <v>0x3A</v>
      </c>
      <c r="BC12" s="16" t="str">
        <f t="shared" si="0"/>
        <v>0x3B</v>
      </c>
      <c r="BD12" s="16" t="str">
        <f t="shared" si="0"/>
        <v>0x3C</v>
      </c>
      <c r="BE12" s="16" t="str">
        <f t="shared" si="0"/>
        <v>0x3D</v>
      </c>
      <c r="BF12" s="16" t="str">
        <f t="shared" si="0"/>
        <v>0x3E</v>
      </c>
      <c r="BG12" s="16" t="str">
        <f t="shared" si="0"/>
        <v>0x3F</v>
      </c>
      <c r="BH12" s="16" t="str">
        <f t="shared" si="0"/>
        <v>0x40</v>
      </c>
      <c r="BI12" s="16" t="str">
        <f t="shared" si="0"/>
        <v>0x41</v>
      </c>
      <c r="BJ12" s="16" t="str">
        <f t="shared" si="0"/>
        <v>0x42</v>
      </c>
      <c r="BK12" s="16" t="str">
        <f t="shared" si="0"/>
        <v>0x43</v>
      </c>
      <c r="BL12" s="16" t="str">
        <f t="shared" si="0"/>
        <v>0x44</v>
      </c>
      <c r="BM12" s="16" t="str">
        <f t="shared" si="0"/>
        <v>0x45</v>
      </c>
      <c r="BN12" s="16" t="str">
        <f t="shared" si="0"/>
        <v>0x46</v>
      </c>
      <c r="BO12" s="16" t="str">
        <f t="shared" si="0"/>
        <v>0x47</v>
      </c>
      <c r="BP12" s="16" t="str">
        <f t="shared" si="0"/>
        <v>0x48</v>
      </c>
      <c r="BQ12" s="16" t="str">
        <f t="shared" ref="BQ12:DS12" si="1">"0x"&amp;DEC2HEX(BQ13,2)</f>
        <v>0x49</v>
      </c>
      <c r="BR12" s="16" t="str">
        <f t="shared" si="1"/>
        <v>0x4A</v>
      </c>
      <c r="BS12" s="16" t="str">
        <f t="shared" si="1"/>
        <v>0x4B</v>
      </c>
      <c r="BT12" s="16" t="str">
        <f t="shared" si="1"/>
        <v>0x4C</v>
      </c>
      <c r="BU12" s="16" t="str">
        <f t="shared" si="1"/>
        <v>0x4D</v>
      </c>
      <c r="BV12" s="16" t="str">
        <f t="shared" si="1"/>
        <v>0x4E</v>
      </c>
      <c r="BW12" s="16" t="str">
        <f t="shared" si="1"/>
        <v>0x4F</v>
      </c>
      <c r="BX12" s="16" t="str">
        <f t="shared" si="1"/>
        <v>0x50</v>
      </c>
      <c r="BY12" s="16" t="str">
        <f t="shared" si="1"/>
        <v>0x51</v>
      </c>
      <c r="BZ12" s="16" t="str">
        <f t="shared" si="1"/>
        <v>0x52</v>
      </c>
      <c r="CA12" s="16" t="str">
        <f t="shared" si="1"/>
        <v>0x53</v>
      </c>
      <c r="CB12" s="16" t="str">
        <f t="shared" si="1"/>
        <v>0x54</v>
      </c>
      <c r="CC12" s="16" t="str">
        <f t="shared" si="1"/>
        <v>0x55</v>
      </c>
      <c r="CD12" s="16" t="str">
        <f t="shared" si="1"/>
        <v>0x56</v>
      </c>
      <c r="CE12" s="16" t="str">
        <f t="shared" si="1"/>
        <v>0x57</v>
      </c>
      <c r="CF12" s="16" t="str">
        <f t="shared" si="1"/>
        <v>0x58</v>
      </c>
      <c r="CG12" s="16" t="str">
        <f t="shared" si="1"/>
        <v>0x59</v>
      </c>
      <c r="CH12" s="16" t="str">
        <f t="shared" si="1"/>
        <v>0x5A</v>
      </c>
      <c r="CI12" s="16" t="str">
        <f t="shared" si="1"/>
        <v>0x5B</v>
      </c>
      <c r="CJ12" s="16" t="str">
        <f t="shared" si="1"/>
        <v>0x5C</v>
      </c>
      <c r="CK12" s="16" t="str">
        <f t="shared" si="1"/>
        <v>0x5D</v>
      </c>
      <c r="CL12" s="16" t="str">
        <f t="shared" si="1"/>
        <v>0x5E</v>
      </c>
      <c r="CM12" s="16" t="str">
        <f t="shared" si="1"/>
        <v>0x5F</v>
      </c>
      <c r="CN12" s="16" t="str">
        <f t="shared" si="1"/>
        <v>0x60</v>
      </c>
      <c r="CO12" s="16" t="str">
        <f t="shared" si="1"/>
        <v>0x61</v>
      </c>
      <c r="CP12" s="16" t="str">
        <f t="shared" si="1"/>
        <v>0x62</v>
      </c>
      <c r="CQ12" s="16" t="str">
        <f t="shared" si="1"/>
        <v>0x63</v>
      </c>
      <c r="CR12" s="16" t="str">
        <f t="shared" si="1"/>
        <v>0x64</v>
      </c>
      <c r="CS12" s="16" t="str">
        <f t="shared" si="1"/>
        <v>0x65</v>
      </c>
      <c r="CT12" s="16" t="str">
        <f t="shared" si="1"/>
        <v>0x66</v>
      </c>
      <c r="CU12" s="16" t="str">
        <f t="shared" si="1"/>
        <v>0x67</v>
      </c>
      <c r="CV12" s="16" t="str">
        <f t="shared" si="1"/>
        <v>0x68</v>
      </c>
      <c r="CW12" s="16" t="str">
        <f t="shared" si="1"/>
        <v>0x69</v>
      </c>
      <c r="CX12" s="16" t="str">
        <f t="shared" si="1"/>
        <v>0x6A</v>
      </c>
      <c r="CY12" s="16" t="str">
        <f t="shared" si="1"/>
        <v>0x6B</v>
      </c>
      <c r="CZ12" s="16" t="str">
        <f t="shared" si="1"/>
        <v>0x6C</v>
      </c>
      <c r="DA12" s="16" t="str">
        <f t="shared" si="1"/>
        <v>0x6D</v>
      </c>
      <c r="DB12" s="16" t="str">
        <f t="shared" si="1"/>
        <v>0x6E</v>
      </c>
      <c r="DC12" s="16" t="str">
        <f t="shared" si="1"/>
        <v>0x6F</v>
      </c>
      <c r="DD12" s="16" t="str">
        <f t="shared" si="1"/>
        <v>0x70</v>
      </c>
      <c r="DE12" s="16" t="str">
        <f t="shared" si="1"/>
        <v>0x71</v>
      </c>
      <c r="DF12" s="16" t="str">
        <f t="shared" si="1"/>
        <v>0x72</v>
      </c>
      <c r="DG12" s="16" t="str">
        <f t="shared" si="1"/>
        <v>0x73</v>
      </c>
      <c r="DH12" s="16" t="str">
        <f t="shared" si="1"/>
        <v>0x74</v>
      </c>
      <c r="DI12" s="16" t="str">
        <f t="shared" si="1"/>
        <v>0x75</v>
      </c>
      <c r="DJ12" s="16" t="str">
        <f t="shared" si="1"/>
        <v>0x76</v>
      </c>
      <c r="DK12" s="16" t="str">
        <f t="shared" si="1"/>
        <v>0x77</v>
      </c>
      <c r="DL12" s="16" t="str">
        <f t="shared" si="1"/>
        <v>0x78</v>
      </c>
      <c r="DM12" s="16" t="str">
        <f t="shared" si="1"/>
        <v>0x79</v>
      </c>
      <c r="DN12" s="16" t="str">
        <f t="shared" si="1"/>
        <v>0x7A</v>
      </c>
      <c r="DO12" s="16" t="str">
        <f t="shared" si="1"/>
        <v>0x7B</v>
      </c>
      <c r="DP12" s="16" t="str">
        <f t="shared" si="1"/>
        <v>0x7C</v>
      </c>
      <c r="DQ12" s="16" t="str">
        <f t="shared" si="1"/>
        <v>0x7D</v>
      </c>
      <c r="DR12" s="16" t="str">
        <f t="shared" si="1"/>
        <v>0x7E</v>
      </c>
      <c r="DS12" s="16" t="str">
        <f t="shared" si="1"/>
        <v>0x7F</v>
      </c>
    </row>
    <row r="13" spans="1:127" x14ac:dyDescent="0.3">
      <c r="D13" s="17">
        <v>8</v>
      </c>
      <c r="E13" s="17">
        <f t="shared" ref="E13:L13" si="2">D13+1</f>
        <v>9</v>
      </c>
      <c r="F13" s="17">
        <f t="shared" si="2"/>
        <v>10</v>
      </c>
      <c r="G13" s="17">
        <f t="shared" si="2"/>
        <v>11</v>
      </c>
      <c r="H13" s="17">
        <f t="shared" si="2"/>
        <v>12</v>
      </c>
      <c r="I13" s="17">
        <f t="shared" si="2"/>
        <v>13</v>
      </c>
      <c r="J13" s="17">
        <f t="shared" si="2"/>
        <v>14</v>
      </c>
      <c r="K13" s="17">
        <f t="shared" si="2"/>
        <v>15</v>
      </c>
      <c r="L13" s="17">
        <f t="shared" si="2"/>
        <v>16</v>
      </c>
      <c r="M13" s="17">
        <f>L13+1</f>
        <v>17</v>
      </c>
      <c r="N13" s="17">
        <f t="shared" ref="N13:AD13" si="3">M13+1</f>
        <v>18</v>
      </c>
      <c r="O13" s="17">
        <f t="shared" si="3"/>
        <v>19</v>
      </c>
      <c r="P13" s="17">
        <f t="shared" si="3"/>
        <v>20</v>
      </c>
      <c r="Q13" s="17">
        <f t="shared" si="3"/>
        <v>21</v>
      </c>
      <c r="R13" s="17">
        <f t="shared" si="3"/>
        <v>22</v>
      </c>
      <c r="S13" s="17">
        <f t="shared" si="3"/>
        <v>23</v>
      </c>
      <c r="T13" s="17">
        <f t="shared" si="3"/>
        <v>24</v>
      </c>
      <c r="U13" s="17">
        <f t="shared" si="3"/>
        <v>25</v>
      </c>
      <c r="V13" s="17">
        <f t="shared" si="3"/>
        <v>26</v>
      </c>
      <c r="W13" s="17">
        <f t="shared" si="3"/>
        <v>27</v>
      </c>
      <c r="X13" s="17">
        <f t="shared" si="3"/>
        <v>28</v>
      </c>
      <c r="Y13" s="17">
        <f t="shared" si="3"/>
        <v>29</v>
      </c>
      <c r="Z13" s="17">
        <f t="shared" si="3"/>
        <v>30</v>
      </c>
      <c r="AA13" s="17">
        <f t="shared" si="3"/>
        <v>31</v>
      </c>
      <c r="AB13" s="17">
        <f t="shared" si="3"/>
        <v>32</v>
      </c>
      <c r="AC13" s="17">
        <f t="shared" si="3"/>
        <v>33</v>
      </c>
      <c r="AD13" s="17">
        <f t="shared" si="3"/>
        <v>34</v>
      </c>
      <c r="AE13" s="17">
        <f t="shared" ref="AE13" si="4">AD13+1</f>
        <v>35</v>
      </c>
      <c r="AF13" s="17">
        <f t="shared" ref="AF13" si="5">AE13+1</f>
        <v>36</v>
      </c>
      <c r="AG13" s="17">
        <f t="shared" ref="AG13" si="6">AF13+1</f>
        <v>37</v>
      </c>
      <c r="AH13" s="17">
        <f t="shared" ref="AH13" si="7">AG13+1</f>
        <v>38</v>
      </c>
      <c r="AI13" s="17">
        <f t="shared" ref="AI13" si="8">AH13+1</f>
        <v>39</v>
      </c>
      <c r="AJ13" s="17">
        <f t="shared" ref="AJ13" si="9">AI13+1</f>
        <v>40</v>
      </c>
      <c r="AK13" s="17">
        <f t="shared" ref="AK13" si="10">AJ13+1</f>
        <v>41</v>
      </c>
      <c r="AL13" s="17">
        <f t="shared" ref="AL13" si="11">AK13+1</f>
        <v>42</v>
      </c>
      <c r="AM13" s="17">
        <f t="shared" ref="AM13" si="12">AL13+1</f>
        <v>43</v>
      </c>
      <c r="AN13" s="17">
        <f t="shared" ref="AN13" si="13">AM13+1</f>
        <v>44</v>
      </c>
      <c r="AO13" s="17">
        <f t="shared" ref="AO13" si="14">AN13+1</f>
        <v>45</v>
      </c>
      <c r="AP13" s="17">
        <f t="shared" ref="AP13" si="15">AO13+1</f>
        <v>46</v>
      </c>
      <c r="AQ13" s="17">
        <f t="shared" ref="AQ13" si="16">AP13+1</f>
        <v>47</v>
      </c>
      <c r="AR13" s="17">
        <f t="shared" ref="AR13" si="17">AQ13+1</f>
        <v>48</v>
      </c>
      <c r="AS13" s="17">
        <f t="shared" ref="AS13" si="18">AR13+1</f>
        <v>49</v>
      </c>
      <c r="AT13" s="17">
        <f t="shared" ref="AT13" si="19">AS13+1</f>
        <v>50</v>
      </c>
      <c r="AU13" s="17">
        <f t="shared" ref="AU13" si="20">AT13+1</f>
        <v>51</v>
      </c>
      <c r="AV13" s="17">
        <f t="shared" ref="AV13" si="21">AU13+1</f>
        <v>52</v>
      </c>
      <c r="AW13" s="17">
        <f t="shared" ref="AW13" si="22">AV13+1</f>
        <v>53</v>
      </c>
      <c r="AX13" s="17">
        <f t="shared" ref="AX13" si="23">AW13+1</f>
        <v>54</v>
      </c>
      <c r="AY13" s="17">
        <f t="shared" ref="AY13" si="24">AX13+1</f>
        <v>55</v>
      </c>
      <c r="AZ13" s="17">
        <f t="shared" ref="AZ13" si="25">AY13+1</f>
        <v>56</v>
      </c>
      <c r="BA13" s="17">
        <f t="shared" ref="BA13" si="26">AZ13+1</f>
        <v>57</v>
      </c>
      <c r="BB13" s="17">
        <f t="shared" ref="BB13" si="27">BA13+1</f>
        <v>58</v>
      </c>
      <c r="BC13" s="17">
        <f t="shared" ref="BC13" si="28">BB13+1</f>
        <v>59</v>
      </c>
      <c r="BD13" s="17">
        <f t="shared" ref="BD13" si="29">BC13+1</f>
        <v>60</v>
      </c>
      <c r="BE13" s="17">
        <f t="shared" ref="BE13" si="30">BD13+1</f>
        <v>61</v>
      </c>
      <c r="BF13" s="17">
        <f t="shared" ref="BF13" si="31">BE13+1</f>
        <v>62</v>
      </c>
      <c r="BG13" s="17">
        <f t="shared" ref="BG13" si="32">BF13+1</f>
        <v>63</v>
      </c>
      <c r="BH13" s="17">
        <f t="shared" ref="BH13" si="33">BG13+1</f>
        <v>64</v>
      </c>
      <c r="BI13" s="17">
        <f t="shared" ref="BI13" si="34">BH13+1</f>
        <v>65</v>
      </c>
      <c r="BJ13" s="17">
        <f t="shared" ref="BJ13" si="35">BI13+1</f>
        <v>66</v>
      </c>
      <c r="BK13" s="17">
        <f t="shared" ref="BK13" si="36">BJ13+1</f>
        <v>67</v>
      </c>
      <c r="BL13" s="17">
        <f t="shared" ref="BL13" si="37">BK13+1</f>
        <v>68</v>
      </c>
      <c r="BM13" s="17">
        <f t="shared" ref="BM13" si="38">BL13+1</f>
        <v>69</v>
      </c>
      <c r="BN13" s="17">
        <f t="shared" ref="BN13" si="39">BM13+1</f>
        <v>70</v>
      </c>
      <c r="BO13" s="17">
        <f t="shared" ref="BO13" si="40">BN13+1</f>
        <v>71</v>
      </c>
      <c r="BP13" s="17">
        <f t="shared" ref="BP13" si="41">BO13+1</f>
        <v>72</v>
      </c>
      <c r="BQ13" s="17">
        <f t="shared" ref="BQ13" si="42">BP13+1</f>
        <v>73</v>
      </c>
      <c r="BR13" s="17">
        <f t="shared" ref="BR13" si="43">BQ13+1</f>
        <v>74</v>
      </c>
      <c r="BS13" s="17">
        <f t="shared" ref="BS13" si="44">BR13+1</f>
        <v>75</v>
      </c>
      <c r="BT13" s="17">
        <f t="shared" ref="BT13" si="45">BS13+1</f>
        <v>76</v>
      </c>
      <c r="BU13" s="17">
        <f t="shared" ref="BU13" si="46">BT13+1</f>
        <v>77</v>
      </c>
      <c r="BV13" s="17">
        <f t="shared" ref="BV13" si="47">BU13+1</f>
        <v>78</v>
      </c>
      <c r="BW13" s="17">
        <f t="shared" ref="BW13" si="48">BV13+1</f>
        <v>79</v>
      </c>
      <c r="BX13" s="17">
        <f t="shared" ref="BX13" si="49">BW13+1</f>
        <v>80</v>
      </c>
      <c r="BY13" s="17">
        <f t="shared" ref="BY13" si="50">BX13+1</f>
        <v>81</v>
      </c>
      <c r="BZ13" s="17">
        <f t="shared" ref="BZ13" si="51">BY13+1</f>
        <v>82</v>
      </c>
      <c r="CA13" s="17">
        <f t="shared" ref="CA13" si="52">BZ13+1</f>
        <v>83</v>
      </c>
      <c r="CB13" s="17">
        <f t="shared" ref="CB13" si="53">CA13+1</f>
        <v>84</v>
      </c>
      <c r="CC13" s="17">
        <f t="shared" ref="CC13" si="54">CB13+1</f>
        <v>85</v>
      </c>
      <c r="CD13" s="17">
        <f t="shared" ref="CD13" si="55">CC13+1</f>
        <v>86</v>
      </c>
      <c r="CE13" s="17">
        <f t="shared" ref="CE13" si="56">CD13+1</f>
        <v>87</v>
      </c>
      <c r="CF13" s="17">
        <f t="shared" ref="CF13" si="57">CE13+1</f>
        <v>88</v>
      </c>
      <c r="CG13" s="17">
        <f t="shared" ref="CG13" si="58">CF13+1</f>
        <v>89</v>
      </c>
      <c r="CH13" s="17">
        <f t="shared" ref="CH13" si="59">CG13+1</f>
        <v>90</v>
      </c>
      <c r="CI13" s="17">
        <f t="shared" ref="CI13" si="60">CH13+1</f>
        <v>91</v>
      </c>
      <c r="CJ13" s="17">
        <f t="shared" ref="CJ13" si="61">CI13+1</f>
        <v>92</v>
      </c>
      <c r="CK13" s="17">
        <f t="shared" ref="CK13" si="62">CJ13+1</f>
        <v>93</v>
      </c>
      <c r="CL13" s="17">
        <f t="shared" ref="CL13" si="63">CK13+1</f>
        <v>94</v>
      </c>
      <c r="CM13" s="17">
        <f t="shared" ref="CM13" si="64">CL13+1</f>
        <v>95</v>
      </c>
      <c r="CN13" s="17">
        <f t="shared" ref="CN13" si="65">CM13+1</f>
        <v>96</v>
      </c>
      <c r="CO13" s="17">
        <f t="shared" ref="CO13" si="66">CN13+1</f>
        <v>97</v>
      </c>
      <c r="CP13" s="17">
        <f t="shared" ref="CP13" si="67">CO13+1</f>
        <v>98</v>
      </c>
      <c r="CQ13" s="17">
        <f t="shared" ref="CQ13" si="68">CP13+1</f>
        <v>99</v>
      </c>
      <c r="CR13" s="17">
        <f t="shared" ref="CR13" si="69">CQ13+1</f>
        <v>100</v>
      </c>
      <c r="CS13" s="17">
        <f t="shared" ref="CS13" si="70">CR13+1</f>
        <v>101</v>
      </c>
      <c r="CT13" s="17">
        <f t="shared" ref="CT13" si="71">CS13+1</f>
        <v>102</v>
      </c>
      <c r="CU13" s="17">
        <f t="shared" ref="CU13" si="72">CT13+1</f>
        <v>103</v>
      </c>
      <c r="CV13" s="17">
        <f t="shared" ref="CV13" si="73">CU13+1</f>
        <v>104</v>
      </c>
      <c r="CW13" s="17">
        <f t="shared" ref="CW13" si="74">CV13+1</f>
        <v>105</v>
      </c>
      <c r="CX13" s="17">
        <f t="shared" ref="CX13" si="75">CW13+1</f>
        <v>106</v>
      </c>
      <c r="CY13" s="17">
        <f t="shared" ref="CY13" si="76">CX13+1</f>
        <v>107</v>
      </c>
      <c r="CZ13" s="17">
        <f t="shared" ref="CZ13" si="77">CY13+1</f>
        <v>108</v>
      </c>
      <c r="DA13" s="17">
        <f t="shared" ref="DA13" si="78">CZ13+1</f>
        <v>109</v>
      </c>
      <c r="DB13" s="17">
        <f t="shared" ref="DB13" si="79">DA13+1</f>
        <v>110</v>
      </c>
      <c r="DC13" s="17">
        <f t="shared" ref="DC13" si="80">DB13+1</f>
        <v>111</v>
      </c>
      <c r="DD13" s="17">
        <f t="shared" ref="DD13" si="81">DC13+1</f>
        <v>112</v>
      </c>
      <c r="DE13" s="17">
        <f t="shared" ref="DE13" si="82">DD13+1</f>
        <v>113</v>
      </c>
      <c r="DF13" s="17">
        <f t="shared" ref="DF13" si="83">DE13+1</f>
        <v>114</v>
      </c>
      <c r="DG13" s="17">
        <f t="shared" ref="DG13" si="84">DF13+1</f>
        <v>115</v>
      </c>
      <c r="DH13" s="17">
        <f t="shared" ref="DH13" si="85">DG13+1</f>
        <v>116</v>
      </c>
      <c r="DI13" s="17">
        <f t="shared" ref="DI13" si="86">DH13+1</f>
        <v>117</v>
      </c>
      <c r="DJ13" s="17">
        <f t="shared" ref="DJ13" si="87">DI13+1</f>
        <v>118</v>
      </c>
      <c r="DK13" s="17">
        <f t="shared" ref="DK13" si="88">DJ13+1</f>
        <v>119</v>
      </c>
      <c r="DL13" s="17">
        <f t="shared" ref="DL13" si="89">DK13+1</f>
        <v>120</v>
      </c>
      <c r="DM13" s="17">
        <f t="shared" ref="DM13" si="90">DL13+1</f>
        <v>121</v>
      </c>
      <c r="DN13" s="17">
        <f t="shared" ref="DN13" si="91">DM13+1</f>
        <v>122</v>
      </c>
      <c r="DO13" s="17">
        <f t="shared" ref="DO13" si="92">DN13+1</f>
        <v>123</v>
      </c>
      <c r="DP13" s="17">
        <f t="shared" ref="DP13" si="93">DO13+1</f>
        <v>124</v>
      </c>
      <c r="DQ13" s="17">
        <f t="shared" ref="DQ13" si="94">DP13+1</f>
        <v>125</v>
      </c>
      <c r="DR13" s="17">
        <f t="shared" ref="DR13" si="95">DQ13+1</f>
        <v>126</v>
      </c>
      <c r="DS13" s="17">
        <f t="shared" ref="DS13" si="96">DR13+1</f>
        <v>127</v>
      </c>
      <c r="DT13" s="3"/>
      <c r="DU13" s="3"/>
      <c r="DV13" s="3"/>
      <c r="DW13" s="3"/>
    </row>
    <row r="14" spans="1:127" x14ac:dyDescent="0.3">
      <c r="A14" s="80" t="s">
        <v>9</v>
      </c>
      <c r="B14" s="13" t="str">
        <f>"0x"&amp;DEC2HEX(C14,2)</f>
        <v>0x01</v>
      </c>
      <c r="C14" s="1">
        <v>1</v>
      </c>
      <c r="D14" s="1">
        <f>IF($U$3=0,0,($U$2*D$13)/($C14*$U$3))</f>
        <v>80</v>
      </c>
      <c r="E14" s="1">
        <f t="shared" ref="E14:BP17" si="97">IF($U$3=0,0,($U$2*E$13)/($C14*$U$3))</f>
        <v>90</v>
      </c>
      <c r="F14" s="1">
        <f t="shared" si="97"/>
        <v>100</v>
      </c>
      <c r="G14" s="1">
        <f t="shared" si="97"/>
        <v>110</v>
      </c>
      <c r="H14" s="1">
        <f t="shared" si="97"/>
        <v>120</v>
      </c>
      <c r="I14" s="1">
        <f t="shared" si="97"/>
        <v>130</v>
      </c>
      <c r="J14" s="1">
        <f t="shared" si="97"/>
        <v>140</v>
      </c>
      <c r="K14" s="1">
        <f t="shared" si="97"/>
        <v>150</v>
      </c>
      <c r="L14" s="1">
        <f t="shared" si="97"/>
        <v>160</v>
      </c>
      <c r="M14" s="1">
        <f t="shared" si="97"/>
        <v>170</v>
      </c>
      <c r="N14" s="1">
        <f t="shared" si="97"/>
        <v>180</v>
      </c>
      <c r="O14" s="1">
        <f t="shared" si="97"/>
        <v>190</v>
      </c>
      <c r="P14" s="1">
        <f t="shared" si="97"/>
        <v>200</v>
      </c>
      <c r="Q14" s="1">
        <f t="shared" si="97"/>
        <v>210</v>
      </c>
      <c r="R14" s="1">
        <f t="shared" si="97"/>
        <v>220</v>
      </c>
      <c r="S14" s="1">
        <f t="shared" si="97"/>
        <v>230</v>
      </c>
      <c r="T14" s="1">
        <f t="shared" si="97"/>
        <v>240</v>
      </c>
      <c r="U14" s="1">
        <f t="shared" si="97"/>
        <v>250</v>
      </c>
      <c r="V14" s="1">
        <f t="shared" si="97"/>
        <v>260</v>
      </c>
      <c r="W14" s="1">
        <f t="shared" si="97"/>
        <v>270</v>
      </c>
      <c r="X14" s="1">
        <f t="shared" si="97"/>
        <v>280</v>
      </c>
      <c r="Y14" s="1">
        <f t="shared" si="97"/>
        <v>290</v>
      </c>
      <c r="Z14" s="1">
        <f t="shared" si="97"/>
        <v>300</v>
      </c>
      <c r="AA14" s="1">
        <f t="shared" si="97"/>
        <v>310</v>
      </c>
      <c r="AB14" s="1">
        <f t="shared" si="97"/>
        <v>320</v>
      </c>
      <c r="AC14" s="1">
        <f t="shared" si="97"/>
        <v>330</v>
      </c>
      <c r="AD14" s="1">
        <f t="shared" si="97"/>
        <v>340</v>
      </c>
      <c r="AE14" s="1">
        <f t="shared" si="97"/>
        <v>350</v>
      </c>
      <c r="AF14" s="1">
        <f t="shared" si="97"/>
        <v>360</v>
      </c>
      <c r="AG14" s="1">
        <f t="shared" si="97"/>
        <v>370</v>
      </c>
      <c r="AH14" s="1">
        <f t="shared" si="97"/>
        <v>380</v>
      </c>
      <c r="AI14" s="1">
        <f t="shared" si="97"/>
        <v>390</v>
      </c>
      <c r="AJ14" s="1">
        <f t="shared" si="97"/>
        <v>400</v>
      </c>
      <c r="AK14" s="1">
        <f t="shared" si="97"/>
        <v>410</v>
      </c>
      <c r="AL14" s="1">
        <f t="shared" si="97"/>
        <v>420</v>
      </c>
      <c r="AM14" s="1">
        <f t="shared" si="97"/>
        <v>430</v>
      </c>
      <c r="AN14" s="1">
        <f t="shared" si="97"/>
        <v>440</v>
      </c>
      <c r="AO14" s="1">
        <f t="shared" si="97"/>
        <v>450</v>
      </c>
      <c r="AP14" s="1">
        <f t="shared" si="97"/>
        <v>460</v>
      </c>
      <c r="AQ14" s="1">
        <f t="shared" si="97"/>
        <v>470</v>
      </c>
      <c r="AR14" s="1">
        <f t="shared" si="97"/>
        <v>480</v>
      </c>
      <c r="AS14" s="1">
        <f t="shared" si="97"/>
        <v>490</v>
      </c>
      <c r="AT14" s="1">
        <f t="shared" si="97"/>
        <v>500</v>
      </c>
      <c r="AU14" s="1">
        <f t="shared" si="97"/>
        <v>510</v>
      </c>
      <c r="AV14" s="1">
        <f t="shared" si="97"/>
        <v>520</v>
      </c>
      <c r="AW14" s="1">
        <f t="shared" si="97"/>
        <v>530</v>
      </c>
      <c r="AX14" s="1">
        <f t="shared" si="97"/>
        <v>540</v>
      </c>
      <c r="AY14" s="1">
        <f t="shared" si="97"/>
        <v>550</v>
      </c>
      <c r="AZ14" s="1">
        <f t="shared" si="97"/>
        <v>560</v>
      </c>
      <c r="BA14" s="1">
        <f t="shared" si="97"/>
        <v>570</v>
      </c>
      <c r="BB14" s="1">
        <f t="shared" si="97"/>
        <v>580</v>
      </c>
      <c r="BC14" s="1">
        <f t="shared" si="97"/>
        <v>590</v>
      </c>
      <c r="BD14" s="1">
        <f t="shared" si="97"/>
        <v>600</v>
      </c>
      <c r="BE14" s="1">
        <f t="shared" si="97"/>
        <v>610</v>
      </c>
      <c r="BF14" s="1">
        <f t="shared" si="97"/>
        <v>620</v>
      </c>
      <c r="BG14" s="1">
        <f t="shared" si="97"/>
        <v>630</v>
      </c>
      <c r="BH14" s="1">
        <f t="shared" si="97"/>
        <v>640</v>
      </c>
      <c r="BI14" s="1">
        <f t="shared" si="97"/>
        <v>650</v>
      </c>
      <c r="BJ14" s="1">
        <f t="shared" si="97"/>
        <v>660</v>
      </c>
      <c r="BK14" s="1">
        <f t="shared" si="97"/>
        <v>670</v>
      </c>
      <c r="BL14" s="1">
        <f t="shared" si="97"/>
        <v>680</v>
      </c>
      <c r="BM14" s="1">
        <f t="shared" si="97"/>
        <v>690</v>
      </c>
      <c r="BN14" s="1">
        <f t="shared" si="97"/>
        <v>700</v>
      </c>
      <c r="BO14" s="1">
        <f t="shared" si="97"/>
        <v>710</v>
      </c>
      <c r="BP14" s="1">
        <f t="shared" si="97"/>
        <v>720</v>
      </c>
      <c r="BQ14" s="1">
        <f t="shared" ref="BQ14:DS18" si="98">IF($U$3=0,0,($U$2*BQ$13)/($C14*$U$3))</f>
        <v>730</v>
      </c>
      <c r="BR14" s="1">
        <f t="shared" si="98"/>
        <v>740</v>
      </c>
      <c r="BS14" s="1">
        <f t="shared" si="98"/>
        <v>750</v>
      </c>
      <c r="BT14" s="1">
        <f t="shared" si="98"/>
        <v>760</v>
      </c>
      <c r="BU14" s="1">
        <f t="shared" si="98"/>
        <v>770</v>
      </c>
      <c r="BV14" s="1">
        <f t="shared" si="98"/>
        <v>780</v>
      </c>
      <c r="BW14" s="1">
        <f t="shared" si="98"/>
        <v>790</v>
      </c>
      <c r="BX14" s="1">
        <f t="shared" si="98"/>
        <v>800</v>
      </c>
      <c r="BY14" s="1">
        <f t="shared" si="98"/>
        <v>810</v>
      </c>
      <c r="BZ14" s="1">
        <f t="shared" si="98"/>
        <v>820</v>
      </c>
      <c r="CA14" s="1">
        <f t="shared" si="98"/>
        <v>830</v>
      </c>
      <c r="CB14" s="1">
        <f t="shared" si="98"/>
        <v>840</v>
      </c>
      <c r="CC14" s="1">
        <f t="shared" si="98"/>
        <v>850</v>
      </c>
      <c r="CD14" s="1">
        <f t="shared" si="98"/>
        <v>860</v>
      </c>
      <c r="CE14" s="1">
        <f t="shared" si="98"/>
        <v>870</v>
      </c>
      <c r="CF14" s="1">
        <f t="shared" si="98"/>
        <v>880</v>
      </c>
      <c r="CG14" s="1">
        <f t="shared" si="98"/>
        <v>890</v>
      </c>
      <c r="CH14" s="1">
        <f t="shared" si="98"/>
        <v>900</v>
      </c>
      <c r="CI14" s="1">
        <f t="shared" si="98"/>
        <v>910</v>
      </c>
      <c r="CJ14" s="1">
        <f t="shared" si="98"/>
        <v>920</v>
      </c>
      <c r="CK14" s="1">
        <f t="shared" si="98"/>
        <v>930</v>
      </c>
      <c r="CL14" s="1">
        <f t="shared" si="98"/>
        <v>940</v>
      </c>
      <c r="CM14" s="1">
        <f t="shared" si="98"/>
        <v>950</v>
      </c>
      <c r="CN14" s="1">
        <f t="shared" si="98"/>
        <v>960</v>
      </c>
      <c r="CO14" s="1">
        <f t="shared" si="98"/>
        <v>970</v>
      </c>
      <c r="CP14" s="1">
        <f t="shared" si="98"/>
        <v>980</v>
      </c>
      <c r="CQ14" s="1">
        <f t="shared" si="98"/>
        <v>990</v>
      </c>
      <c r="CR14" s="1">
        <f t="shared" si="98"/>
        <v>1000</v>
      </c>
      <c r="CS14" s="1">
        <f t="shared" si="98"/>
        <v>1010</v>
      </c>
      <c r="CT14" s="1">
        <f t="shared" si="98"/>
        <v>1020</v>
      </c>
      <c r="CU14" s="1">
        <f t="shared" si="98"/>
        <v>1030</v>
      </c>
      <c r="CV14" s="1">
        <f t="shared" si="98"/>
        <v>1040</v>
      </c>
      <c r="CW14" s="1">
        <f t="shared" si="98"/>
        <v>1050</v>
      </c>
      <c r="CX14" s="1">
        <f t="shared" si="98"/>
        <v>1060</v>
      </c>
      <c r="CY14" s="1">
        <f t="shared" si="98"/>
        <v>1070</v>
      </c>
      <c r="CZ14" s="1">
        <f t="shared" si="98"/>
        <v>1080</v>
      </c>
      <c r="DA14" s="1">
        <f t="shared" si="98"/>
        <v>1090</v>
      </c>
      <c r="DB14" s="1">
        <f t="shared" si="98"/>
        <v>1100</v>
      </c>
      <c r="DC14" s="1">
        <f t="shared" si="98"/>
        <v>1110</v>
      </c>
      <c r="DD14" s="1">
        <f t="shared" si="98"/>
        <v>1120</v>
      </c>
      <c r="DE14" s="1">
        <f t="shared" si="98"/>
        <v>1130</v>
      </c>
      <c r="DF14" s="1">
        <f t="shared" si="98"/>
        <v>1140</v>
      </c>
      <c r="DG14" s="1">
        <f t="shared" si="98"/>
        <v>1150</v>
      </c>
      <c r="DH14" s="1">
        <f t="shared" si="98"/>
        <v>1160</v>
      </c>
      <c r="DI14" s="1">
        <f t="shared" si="98"/>
        <v>1170</v>
      </c>
      <c r="DJ14" s="1">
        <f t="shared" si="98"/>
        <v>1180</v>
      </c>
      <c r="DK14" s="1">
        <f t="shared" si="98"/>
        <v>1190</v>
      </c>
      <c r="DL14" s="1">
        <f t="shared" si="98"/>
        <v>1200</v>
      </c>
      <c r="DM14" s="1">
        <f t="shared" si="98"/>
        <v>1210</v>
      </c>
      <c r="DN14" s="1">
        <f t="shared" si="98"/>
        <v>1220</v>
      </c>
      <c r="DO14" s="1">
        <f t="shared" si="98"/>
        <v>1230</v>
      </c>
      <c r="DP14" s="1">
        <f t="shared" si="98"/>
        <v>1240</v>
      </c>
      <c r="DQ14" s="1">
        <f t="shared" si="98"/>
        <v>1250</v>
      </c>
      <c r="DR14" s="1">
        <f t="shared" si="98"/>
        <v>1260</v>
      </c>
      <c r="DS14" s="1">
        <f t="shared" si="98"/>
        <v>1270</v>
      </c>
      <c r="DT14" s="3"/>
      <c r="DU14" s="3"/>
      <c r="DV14" s="3"/>
      <c r="DW14" s="3"/>
    </row>
    <row r="15" spans="1:127" x14ac:dyDescent="0.3">
      <c r="A15" s="81"/>
      <c r="B15" s="13" t="str">
        <f t="shared" ref="B15:B76" si="99">"0x"&amp;DEC2HEX(C15,2)</f>
        <v>0x02</v>
      </c>
      <c r="C15" s="12">
        <f>C14+1</f>
        <v>2</v>
      </c>
      <c r="D15" s="1">
        <f t="shared" ref="D15:S37" si="100">IF($U$3=0,0,($U$2*D$13)/($C15*$U$3))</f>
        <v>40</v>
      </c>
      <c r="E15" s="1">
        <f t="shared" si="97"/>
        <v>45</v>
      </c>
      <c r="F15" s="1">
        <f t="shared" si="97"/>
        <v>50</v>
      </c>
      <c r="G15" s="1">
        <f t="shared" si="97"/>
        <v>55</v>
      </c>
      <c r="H15" s="1">
        <f t="shared" si="97"/>
        <v>60</v>
      </c>
      <c r="I15" s="1">
        <f t="shared" si="97"/>
        <v>65</v>
      </c>
      <c r="J15" s="1">
        <f t="shared" si="97"/>
        <v>70</v>
      </c>
      <c r="K15" s="1">
        <f t="shared" si="97"/>
        <v>75</v>
      </c>
      <c r="L15" s="1">
        <f t="shared" si="97"/>
        <v>80</v>
      </c>
      <c r="M15" s="1">
        <f t="shared" si="97"/>
        <v>85</v>
      </c>
      <c r="N15" s="1">
        <f t="shared" si="97"/>
        <v>90</v>
      </c>
      <c r="O15" s="1">
        <f t="shared" si="97"/>
        <v>95</v>
      </c>
      <c r="P15" s="1">
        <f t="shared" si="97"/>
        <v>100</v>
      </c>
      <c r="Q15" s="1">
        <f t="shared" si="97"/>
        <v>105</v>
      </c>
      <c r="R15" s="1">
        <f t="shared" si="97"/>
        <v>110</v>
      </c>
      <c r="S15" s="1">
        <f t="shared" si="97"/>
        <v>115</v>
      </c>
      <c r="T15" s="1">
        <f t="shared" si="97"/>
        <v>120</v>
      </c>
      <c r="U15" s="1">
        <f t="shared" si="97"/>
        <v>125</v>
      </c>
      <c r="V15" s="1">
        <f t="shared" si="97"/>
        <v>130</v>
      </c>
      <c r="W15" s="1">
        <f t="shared" si="97"/>
        <v>135</v>
      </c>
      <c r="X15" s="1">
        <f t="shared" si="97"/>
        <v>140</v>
      </c>
      <c r="Y15" s="1">
        <f t="shared" si="97"/>
        <v>145</v>
      </c>
      <c r="Z15" s="1">
        <f t="shared" si="97"/>
        <v>150</v>
      </c>
      <c r="AA15" s="1">
        <f t="shared" si="97"/>
        <v>155</v>
      </c>
      <c r="AB15" s="1">
        <f t="shared" si="97"/>
        <v>160</v>
      </c>
      <c r="AC15" s="1">
        <f t="shared" si="97"/>
        <v>165</v>
      </c>
      <c r="AD15" s="1">
        <f t="shared" si="97"/>
        <v>170</v>
      </c>
      <c r="AE15" s="1">
        <f t="shared" si="97"/>
        <v>175</v>
      </c>
      <c r="AF15" s="1">
        <f t="shared" si="97"/>
        <v>180</v>
      </c>
      <c r="AG15" s="1">
        <f t="shared" si="97"/>
        <v>185</v>
      </c>
      <c r="AH15" s="1">
        <f t="shared" si="97"/>
        <v>190</v>
      </c>
      <c r="AI15" s="1">
        <f t="shared" si="97"/>
        <v>195</v>
      </c>
      <c r="AJ15" s="1">
        <f t="shared" si="97"/>
        <v>200</v>
      </c>
      <c r="AK15" s="1">
        <f t="shared" si="97"/>
        <v>205</v>
      </c>
      <c r="AL15" s="1">
        <f t="shared" si="97"/>
        <v>210</v>
      </c>
      <c r="AM15" s="1">
        <f t="shared" si="97"/>
        <v>215</v>
      </c>
      <c r="AN15" s="1">
        <f t="shared" si="97"/>
        <v>220</v>
      </c>
      <c r="AO15" s="1">
        <f t="shared" si="97"/>
        <v>225</v>
      </c>
      <c r="AP15" s="1">
        <f t="shared" si="97"/>
        <v>230</v>
      </c>
      <c r="AQ15" s="1">
        <f t="shared" si="97"/>
        <v>235</v>
      </c>
      <c r="AR15" s="1">
        <f t="shared" si="97"/>
        <v>240</v>
      </c>
      <c r="AS15" s="1">
        <f t="shared" si="97"/>
        <v>245</v>
      </c>
      <c r="AT15" s="1">
        <f t="shared" si="97"/>
        <v>250</v>
      </c>
      <c r="AU15" s="1">
        <f t="shared" si="97"/>
        <v>255</v>
      </c>
      <c r="AV15" s="1">
        <f t="shared" si="97"/>
        <v>260</v>
      </c>
      <c r="AW15" s="1">
        <f t="shared" si="97"/>
        <v>265</v>
      </c>
      <c r="AX15" s="1">
        <f t="shared" si="97"/>
        <v>270</v>
      </c>
      <c r="AY15" s="1">
        <f t="shared" si="97"/>
        <v>275</v>
      </c>
      <c r="AZ15" s="1">
        <f t="shared" si="97"/>
        <v>280</v>
      </c>
      <c r="BA15" s="1">
        <f t="shared" si="97"/>
        <v>285</v>
      </c>
      <c r="BB15" s="1">
        <f t="shared" si="97"/>
        <v>290</v>
      </c>
      <c r="BC15" s="1">
        <f t="shared" si="97"/>
        <v>295</v>
      </c>
      <c r="BD15" s="1">
        <f t="shared" si="97"/>
        <v>300</v>
      </c>
      <c r="BE15" s="1">
        <f t="shared" si="97"/>
        <v>305</v>
      </c>
      <c r="BF15" s="1">
        <f t="shared" si="97"/>
        <v>310</v>
      </c>
      <c r="BG15" s="1">
        <f t="shared" si="97"/>
        <v>315</v>
      </c>
      <c r="BH15" s="1">
        <f t="shared" si="97"/>
        <v>320</v>
      </c>
      <c r="BI15" s="1">
        <f t="shared" si="97"/>
        <v>325</v>
      </c>
      <c r="BJ15" s="1">
        <f t="shared" si="97"/>
        <v>330</v>
      </c>
      <c r="BK15" s="1">
        <f t="shared" si="97"/>
        <v>335</v>
      </c>
      <c r="BL15" s="1">
        <f t="shared" si="97"/>
        <v>340</v>
      </c>
      <c r="BM15" s="1">
        <f t="shared" si="97"/>
        <v>345</v>
      </c>
      <c r="BN15" s="1">
        <f t="shared" si="97"/>
        <v>350</v>
      </c>
      <c r="BO15" s="1">
        <f t="shared" si="97"/>
        <v>355</v>
      </c>
      <c r="BP15" s="1">
        <f t="shared" si="97"/>
        <v>360</v>
      </c>
      <c r="BQ15" s="1">
        <f t="shared" si="98"/>
        <v>365</v>
      </c>
      <c r="BR15" s="1">
        <f t="shared" si="98"/>
        <v>370</v>
      </c>
      <c r="BS15" s="1">
        <f t="shared" si="98"/>
        <v>375</v>
      </c>
      <c r="BT15" s="1">
        <f t="shared" si="98"/>
        <v>380</v>
      </c>
      <c r="BU15" s="1">
        <f t="shared" si="98"/>
        <v>385</v>
      </c>
      <c r="BV15" s="1">
        <f t="shared" si="98"/>
        <v>390</v>
      </c>
      <c r="BW15" s="1">
        <f t="shared" si="98"/>
        <v>395</v>
      </c>
      <c r="BX15" s="1">
        <f t="shared" si="98"/>
        <v>400</v>
      </c>
      <c r="BY15" s="1">
        <f t="shared" si="98"/>
        <v>405</v>
      </c>
      <c r="BZ15" s="1">
        <f t="shared" si="98"/>
        <v>410</v>
      </c>
      <c r="CA15" s="1">
        <f t="shared" si="98"/>
        <v>415</v>
      </c>
      <c r="CB15" s="1">
        <f t="shared" si="98"/>
        <v>420</v>
      </c>
      <c r="CC15" s="1">
        <f t="shared" si="98"/>
        <v>425</v>
      </c>
      <c r="CD15" s="1">
        <f t="shared" si="98"/>
        <v>430</v>
      </c>
      <c r="CE15" s="1">
        <f t="shared" si="98"/>
        <v>435</v>
      </c>
      <c r="CF15" s="1">
        <f t="shared" si="98"/>
        <v>440</v>
      </c>
      <c r="CG15" s="1">
        <f t="shared" si="98"/>
        <v>445</v>
      </c>
      <c r="CH15" s="1">
        <f t="shared" si="98"/>
        <v>450</v>
      </c>
      <c r="CI15" s="1">
        <f t="shared" si="98"/>
        <v>455</v>
      </c>
      <c r="CJ15" s="1">
        <f t="shared" si="98"/>
        <v>460</v>
      </c>
      <c r="CK15" s="1">
        <f t="shared" si="98"/>
        <v>465</v>
      </c>
      <c r="CL15" s="1">
        <f t="shared" si="98"/>
        <v>470</v>
      </c>
      <c r="CM15" s="1">
        <f t="shared" si="98"/>
        <v>475</v>
      </c>
      <c r="CN15" s="1">
        <f t="shared" si="98"/>
        <v>480</v>
      </c>
      <c r="CO15" s="1">
        <f t="shared" si="98"/>
        <v>485</v>
      </c>
      <c r="CP15" s="1">
        <f t="shared" si="98"/>
        <v>490</v>
      </c>
      <c r="CQ15" s="1">
        <f t="shared" si="98"/>
        <v>495</v>
      </c>
      <c r="CR15" s="1">
        <f t="shared" si="98"/>
        <v>500</v>
      </c>
      <c r="CS15" s="1">
        <f t="shared" si="98"/>
        <v>505</v>
      </c>
      <c r="CT15" s="1">
        <f t="shared" si="98"/>
        <v>510</v>
      </c>
      <c r="CU15" s="1">
        <f t="shared" si="98"/>
        <v>515</v>
      </c>
      <c r="CV15" s="1">
        <f t="shared" si="98"/>
        <v>520</v>
      </c>
      <c r="CW15" s="1">
        <f t="shared" si="98"/>
        <v>525</v>
      </c>
      <c r="CX15" s="1">
        <f t="shared" si="98"/>
        <v>530</v>
      </c>
      <c r="CY15" s="1">
        <f t="shared" si="98"/>
        <v>535</v>
      </c>
      <c r="CZ15" s="1">
        <f t="shared" si="98"/>
        <v>540</v>
      </c>
      <c r="DA15" s="1">
        <f t="shared" si="98"/>
        <v>545</v>
      </c>
      <c r="DB15" s="1">
        <f t="shared" si="98"/>
        <v>550</v>
      </c>
      <c r="DC15" s="1">
        <f t="shared" si="98"/>
        <v>555</v>
      </c>
      <c r="DD15" s="1">
        <f t="shared" si="98"/>
        <v>560</v>
      </c>
      <c r="DE15" s="1">
        <f t="shared" si="98"/>
        <v>565</v>
      </c>
      <c r="DF15" s="1">
        <f t="shared" si="98"/>
        <v>570</v>
      </c>
      <c r="DG15" s="1">
        <f t="shared" si="98"/>
        <v>575</v>
      </c>
      <c r="DH15" s="1">
        <f t="shared" si="98"/>
        <v>580</v>
      </c>
      <c r="DI15" s="1">
        <f t="shared" si="98"/>
        <v>585</v>
      </c>
      <c r="DJ15" s="1">
        <f t="shared" si="98"/>
        <v>590</v>
      </c>
      <c r="DK15" s="1">
        <f t="shared" si="98"/>
        <v>595</v>
      </c>
      <c r="DL15" s="1">
        <f t="shared" si="98"/>
        <v>600</v>
      </c>
      <c r="DM15" s="1">
        <f t="shared" si="98"/>
        <v>605</v>
      </c>
      <c r="DN15" s="1">
        <f t="shared" si="98"/>
        <v>610</v>
      </c>
      <c r="DO15" s="1">
        <f t="shared" si="98"/>
        <v>615</v>
      </c>
      <c r="DP15" s="1">
        <f t="shared" si="98"/>
        <v>620</v>
      </c>
      <c r="DQ15" s="1">
        <f t="shared" si="98"/>
        <v>625</v>
      </c>
      <c r="DR15" s="1">
        <f t="shared" si="98"/>
        <v>630</v>
      </c>
      <c r="DS15" s="1">
        <f t="shared" si="98"/>
        <v>635</v>
      </c>
    </row>
    <row r="16" spans="1:127" x14ac:dyDescent="0.3">
      <c r="A16" s="81"/>
      <c r="B16" s="13" t="str">
        <f t="shared" si="99"/>
        <v>0x03</v>
      </c>
      <c r="C16" s="12">
        <f>C15+1</f>
        <v>3</v>
      </c>
      <c r="D16" s="1">
        <f t="shared" si="100"/>
        <v>26.666666666666668</v>
      </c>
      <c r="E16" s="1">
        <f t="shared" si="97"/>
        <v>30</v>
      </c>
      <c r="F16" s="1">
        <f t="shared" si="97"/>
        <v>33.333333333333336</v>
      </c>
      <c r="G16" s="1">
        <f t="shared" si="97"/>
        <v>36.666666666666664</v>
      </c>
      <c r="H16" s="1">
        <f t="shared" si="97"/>
        <v>40</v>
      </c>
      <c r="I16" s="1">
        <f t="shared" si="97"/>
        <v>43.333333333333336</v>
      </c>
      <c r="J16" s="1">
        <f t="shared" si="97"/>
        <v>46.666666666666664</v>
      </c>
      <c r="K16" s="1">
        <f t="shared" si="97"/>
        <v>50</v>
      </c>
      <c r="L16" s="1">
        <f t="shared" si="97"/>
        <v>53.333333333333336</v>
      </c>
      <c r="M16" s="1">
        <f t="shared" si="97"/>
        <v>56.666666666666664</v>
      </c>
      <c r="N16" s="1">
        <f t="shared" si="97"/>
        <v>60</v>
      </c>
      <c r="O16" s="1">
        <f t="shared" si="97"/>
        <v>63.333333333333336</v>
      </c>
      <c r="P16" s="1">
        <f t="shared" si="97"/>
        <v>66.666666666666671</v>
      </c>
      <c r="Q16" s="1">
        <f t="shared" si="97"/>
        <v>70</v>
      </c>
      <c r="R16" s="1">
        <f t="shared" si="97"/>
        <v>73.333333333333329</v>
      </c>
      <c r="S16" s="1">
        <f t="shared" si="97"/>
        <v>76.666666666666671</v>
      </c>
      <c r="T16" s="1">
        <f t="shared" si="97"/>
        <v>80</v>
      </c>
      <c r="U16" s="1">
        <f t="shared" si="97"/>
        <v>83.333333333333329</v>
      </c>
      <c r="V16" s="1">
        <f t="shared" si="97"/>
        <v>86.666666666666671</v>
      </c>
      <c r="W16" s="1">
        <f t="shared" si="97"/>
        <v>90</v>
      </c>
      <c r="X16" s="1">
        <f t="shared" si="97"/>
        <v>93.333333333333329</v>
      </c>
      <c r="Y16" s="1">
        <f t="shared" si="97"/>
        <v>96.666666666666671</v>
      </c>
      <c r="Z16" s="1">
        <f t="shared" si="97"/>
        <v>100</v>
      </c>
      <c r="AA16" s="1">
        <f t="shared" si="97"/>
        <v>103.33333333333333</v>
      </c>
      <c r="AB16" s="1">
        <f t="shared" si="97"/>
        <v>106.66666666666667</v>
      </c>
      <c r="AC16" s="1">
        <f t="shared" si="97"/>
        <v>110</v>
      </c>
      <c r="AD16" s="1">
        <f t="shared" si="97"/>
        <v>113.33333333333333</v>
      </c>
      <c r="AE16" s="1">
        <f t="shared" si="97"/>
        <v>116.66666666666667</v>
      </c>
      <c r="AF16" s="1">
        <f t="shared" si="97"/>
        <v>120</v>
      </c>
      <c r="AG16" s="1">
        <f t="shared" si="97"/>
        <v>123.33333333333333</v>
      </c>
      <c r="AH16" s="1">
        <f t="shared" si="97"/>
        <v>126.66666666666667</v>
      </c>
      <c r="AI16" s="1">
        <f t="shared" si="97"/>
        <v>130</v>
      </c>
      <c r="AJ16" s="1">
        <f t="shared" si="97"/>
        <v>133.33333333333334</v>
      </c>
      <c r="AK16" s="1">
        <f t="shared" si="97"/>
        <v>136.66666666666666</v>
      </c>
      <c r="AL16" s="1">
        <f t="shared" si="97"/>
        <v>140</v>
      </c>
      <c r="AM16" s="1">
        <f t="shared" si="97"/>
        <v>143.33333333333334</v>
      </c>
      <c r="AN16" s="1">
        <f t="shared" si="97"/>
        <v>146.66666666666666</v>
      </c>
      <c r="AO16" s="1">
        <f t="shared" si="97"/>
        <v>150</v>
      </c>
      <c r="AP16" s="1">
        <f t="shared" si="97"/>
        <v>153.33333333333334</v>
      </c>
      <c r="AQ16" s="1">
        <f t="shared" si="97"/>
        <v>156.66666666666666</v>
      </c>
      <c r="AR16" s="1">
        <f t="shared" si="97"/>
        <v>160</v>
      </c>
      <c r="AS16" s="1">
        <f t="shared" si="97"/>
        <v>163.33333333333334</v>
      </c>
      <c r="AT16" s="1">
        <f t="shared" si="97"/>
        <v>166.66666666666666</v>
      </c>
      <c r="AU16" s="1">
        <f t="shared" si="97"/>
        <v>170</v>
      </c>
      <c r="AV16" s="1">
        <f t="shared" si="97"/>
        <v>173.33333333333334</v>
      </c>
      <c r="AW16" s="1">
        <f t="shared" si="97"/>
        <v>176.66666666666666</v>
      </c>
      <c r="AX16" s="1">
        <f t="shared" si="97"/>
        <v>180</v>
      </c>
      <c r="AY16" s="1">
        <f t="shared" si="97"/>
        <v>183.33333333333334</v>
      </c>
      <c r="AZ16" s="1">
        <f t="shared" si="97"/>
        <v>186.66666666666666</v>
      </c>
      <c r="BA16" s="1">
        <f t="shared" si="97"/>
        <v>190</v>
      </c>
      <c r="BB16" s="1">
        <f t="shared" si="97"/>
        <v>193.33333333333334</v>
      </c>
      <c r="BC16" s="1">
        <f t="shared" si="97"/>
        <v>196.66666666666666</v>
      </c>
      <c r="BD16" s="1">
        <f t="shared" si="97"/>
        <v>200</v>
      </c>
      <c r="BE16" s="1">
        <f t="shared" si="97"/>
        <v>203.33333333333334</v>
      </c>
      <c r="BF16" s="1">
        <f t="shared" si="97"/>
        <v>206.66666666666666</v>
      </c>
      <c r="BG16" s="1">
        <f t="shared" si="97"/>
        <v>210</v>
      </c>
      <c r="BH16" s="1">
        <f t="shared" si="97"/>
        <v>213.33333333333334</v>
      </c>
      <c r="BI16" s="1">
        <f t="shared" si="97"/>
        <v>216.66666666666666</v>
      </c>
      <c r="BJ16" s="1">
        <f t="shared" si="97"/>
        <v>220</v>
      </c>
      <c r="BK16" s="1">
        <f t="shared" si="97"/>
        <v>223.33333333333334</v>
      </c>
      <c r="BL16" s="1">
        <f t="shared" si="97"/>
        <v>226.66666666666666</v>
      </c>
      <c r="BM16" s="1">
        <f t="shared" si="97"/>
        <v>230</v>
      </c>
      <c r="BN16" s="1">
        <f t="shared" si="97"/>
        <v>233.33333333333334</v>
      </c>
      <c r="BO16" s="1">
        <f t="shared" si="97"/>
        <v>236.66666666666666</v>
      </c>
      <c r="BP16" s="1">
        <f t="shared" si="97"/>
        <v>240</v>
      </c>
      <c r="BQ16" s="1">
        <f t="shared" si="98"/>
        <v>243.33333333333334</v>
      </c>
      <c r="BR16" s="1">
        <f t="shared" si="98"/>
        <v>246.66666666666666</v>
      </c>
      <c r="BS16" s="1">
        <f t="shared" si="98"/>
        <v>250</v>
      </c>
      <c r="BT16" s="1">
        <f t="shared" si="98"/>
        <v>253.33333333333334</v>
      </c>
      <c r="BU16" s="1">
        <f t="shared" si="98"/>
        <v>256.66666666666669</v>
      </c>
      <c r="BV16" s="1">
        <f t="shared" si="98"/>
        <v>260</v>
      </c>
      <c r="BW16" s="1">
        <f t="shared" si="98"/>
        <v>263.33333333333331</v>
      </c>
      <c r="BX16" s="1">
        <f t="shared" si="98"/>
        <v>266.66666666666669</v>
      </c>
      <c r="BY16" s="1">
        <f t="shared" si="98"/>
        <v>270</v>
      </c>
      <c r="BZ16" s="1">
        <f t="shared" si="98"/>
        <v>273.33333333333331</v>
      </c>
      <c r="CA16" s="1">
        <f t="shared" si="98"/>
        <v>276.66666666666669</v>
      </c>
      <c r="CB16" s="1">
        <f t="shared" si="98"/>
        <v>280</v>
      </c>
      <c r="CC16" s="1">
        <f t="shared" si="98"/>
        <v>283.33333333333331</v>
      </c>
      <c r="CD16" s="1">
        <f t="shared" si="98"/>
        <v>286.66666666666669</v>
      </c>
      <c r="CE16" s="1">
        <f t="shared" si="98"/>
        <v>290</v>
      </c>
      <c r="CF16" s="1">
        <f t="shared" si="98"/>
        <v>293.33333333333331</v>
      </c>
      <c r="CG16" s="1">
        <f t="shared" si="98"/>
        <v>296.66666666666669</v>
      </c>
      <c r="CH16" s="1">
        <f t="shared" si="98"/>
        <v>300</v>
      </c>
      <c r="CI16" s="1">
        <f t="shared" si="98"/>
        <v>303.33333333333331</v>
      </c>
      <c r="CJ16" s="1">
        <f t="shared" si="98"/>
        <v>306.66666666666669</v>
      </c>
      <c r="CK16" s="1">
        <f t="shared" si="98"/>
        <v>310</v>
      </c>
      <c r="CL16" s="1">
        <f t="shared" si="98"/>
        <v>313.33333333333331</v>
      </c>
      <c r="CM16" s="1">
        <f t="shared" si="98"/>
        <v>316.66666666666669</v>
      </c>
      <c r="CN16" s="1">
        <f t="shared" si="98"/>
        <v>320</v>
      </c>
      <c r="CO16" s="1">
        <f t="shared" si="98"/>
        <v>323.33333333333331</v>
      </c>
      <c r="CP16" s="1">
        <f t="shared" si="98"/>
        <v>326.66666666666669</v>
      </c>
      <c r="CQ16" s="1">
        <f t="shared" si="98"/>
        <v>330</v>
      </c>
      <c r="CR16" s="1">
        <f t="shared" si="98"/>
        <v>333.33333333333331</v>
      </c>
      <c r="CS16" s="1">
        <f t="shared" si="98"/>
        <v>336.66666666666669</v>
      </c>
      <c r="CT16" s="1">
        <f t="shared" si="98"/>
        <v>340</v>
      </c>
      <c r="CU16" s="1">
        <f t="shared" si="98"/>
        <v>343.33333333333331</v>
      </c>
      <c r="CV16" s="1">
        <f t="shared" si="98"/>
        <v>346.66666666666669</v>
      </c>
      <c r="CW16" s="1">
        <f t="shared" si="98"/>
        <v>350</v>
      </c>
      <c r="CX16" s="1">
        <f t="shared" si="98"/>
        <v>353.33333333333331</v>
      </c>
      <c r="CY16" s="1">
        <f t="shared" si="98"/>
        <v>356.66666666666669</v>
      </c>
      <c r="CZ16" s="1">
        <f t="shared" si="98"/>
        <v>360</v>
      </c>
      <c r="DA16" s="1">
        <f t="shared" si="98"/>
        <v>363.33333333333331</v>
      </c>
      <c r="DB16" s="1">
        <f t="shared" si="98"/>
        <v>366.66666666666669</v>
      </c>
      <c r="DC16" s="1">
        <f t="shared" si="98"/>
        <v>370</v>
      </c>
      <c r="DD16" s="1">
        <f t="shared" si="98"/>
        <v>373.33333333333331</v>
      </c>
      <c r="DE16" s="1">
        <f t="shared" si="98"/>
        <v>376.66666666666669</v>
      </c>
      <c r="DF16" s="1">
        <f t="shared" si="98"/>
        <v>380</v>
      </c>
      <c r="DG16" s="1">
        <f t="shared" si="98"/>
        <v>383.33333333333331</v>
      </c>
      <c r="DH16" s="1">
        <f t="shared" si="98"/>
        <v>386.66666666666669</v>
      </c>
      <c r="DI16" s="1">
        <f t="shared" si="98"/>
        <v>390</v>
      </c>
      <c r="DJ16" s="1">
        <f t="shared" si="98"/>
        <v>393.33333333333331</v>
      </c>
      <c r="DK16" s="1">
        <f t="shared" si="98"/>
        <v>396.66666666666669</v>
      </c>
      <c r="DL16" s="1">
        <f t="shared" si="98"/>
        <v>400</v>
      </c>
      <c r="DM16" s="1">
        <f t="shared" si="98"/>
        <v>403.33333333333331</v>
      </c>
      <c r="DN16" s="1">
        <f t="shared" si="98"/>
        <v>406.66666666666669</v>
      </c>
      <c r="DO16" s="1">
        <f t="shared" si="98"/>
        <v>410</v>
      </c>
      <c r="DP16" s="1">
        <f t="shared" si="98"/>
        <v>413.33333333333331</v>
      </c>
      <c r="DQ16" s="1">
        <f t="shared" si="98"/>
        <v>416.66666666666669</v>
      </c>
      <c r="DR16" s="1">
        <f t="shared" si="98"/>
        <v>420</v>
      </c>
      <c r="DS16" s="1">
        <f t="shared" si="98"/>
        <v>423.33333333333331</v>
      </c>
    </row>
    <row r="17" spans="1:123" x14ac:dyDescent="0.3">
      <c r="A17" s="81"/>
      <c r="B17" s="13" t="str">
        <f t="shared" si="99"/>
        <v>0x04</v>
      </c>
      <c r="C17" s="12">
        <f t="shared" ref="C17:C76" si="101">C16+1</f>
        <v>4</v>
      </c>
      <c r="D17" s="1">
        <f t="shared" si="100"/>
        <v>20</v>
      </c>
      <c r="E17" s="1">
        <f t="shared" si="97"/>
        <v>22.5</v>
      </c>
      <c r="F17" s="1">
        <f t="shared" si="97"/>
        <v>25</v>
      </c>
      <c r="G17" s="1">
        <f t="shared" si="97"/>
        <v>27.5</v>
      </c>
      <c r="H17" s="1">
        <f t="shared" si="97"/>
        <v>30</v>
      </c>
      <c r="I17" s="1">
        <f t="shared" si="97"/>
        <v>32.5</v>
      </c>
      <c r="J17" s="1">
        <f t="shared" si="97"/>
        <v>35</v>
      </c>
      <c r="K17" s="1">
        <f t="shared" si="97"/>
        <v>37.5</v>
      </c>
      <c r="L17" s="1">
        <f t="shared" si="97"/>
        <v>40</v>
      </c>
      <c r="M17" s="1">
        <f t="shared" si="97"/>
        <v>42.5</v>
      </c>
      <c r="N17" s="1">
        <f t="shared" si="97"/>
        <v>45</v>
      </c>
      <c r="O17" s="1">
        <f t="shared" si="97"/>
        <v>47.5</v>
      </c>
      <c r="P17" s="1">
        <f t="shared" si="97"/>
        <v>50</v>
      </c>
      <c r="Q17" s="1">
        <f t="shared" si="97"/>
        <v>52.5</v>
      </c>
      <c r="R17" s="1">
        <f t="shared" si="97"/>
        <v>55</v>
      </c>
      <c r="S17" s="1">
        <f t="shared" si="97"/>
        <v>57.5</v>
      </c>
      <c r="T17" s="1">
        <f t="shared" si="97"/>
        <v>60</v>
      </c>
      <c r="U17" s="1">
        <f t="shared" si="97"/>
        <v>62.5</v>
      </c>
      <c r="V17" s="1">
        <f t="shared" si="97"/>
        <v>65</v>
      </c>
      <c r="W17" s="1">
        <f t="shared" si="97"/>
        <v>67.5</v>
      </c>
      <c r="X17" s="1">
        <f t="shared" si="97"/>
        <v>70</v>
      </c>
      <c r="Y17" s="1">
        <f t="shared" si="97"/>
        <v>72.5</v>
      </c>
      <c r="Z17" s="1">
        <f t="shared" si="97"/>
        <v>75</v>
      </c>
      <c r="AA17" s="1">
        <f t="shared" si="97"/>
        <v>77.5</v>
      </c>
      <c r="AB17" s="1">
        <f t="shared" si="97"/>
        <v>80</v>
      </c>
      <c r="AC17" s="1">
        <f t="shared" si="97"/>
        <v>82.5</v>
      </c>
      <c r="AD17" s="1">
        <f t="shared" si="97"/>
        <v>85</v>
      </c>
      <c r="AE17" s="1">
        <f t="shared" si="97"/>
        <v>87.5</v>
      </c>
      <c r="AF17" s="1">
        <f t="shared" si="97"/>
        <v>90</v>
      </c>
      <c r="AG17" s="1">
        <f t="shared" si="97"/>
        <v>92.5</v>
      </c>
      <c r="AH17" s="1">
        <f t="shared" si="97"/>
        <v>95</v>
      </c>
      <c r="AI17" s="1">
        <f t="shared" si="97"/>
        <v>97.5</v>
      </c>
      <c r="AJ17" s="1">
        <f t="shared" si="97"/>
        <v>100</v>
      </c>
      <c r="AK17" s="1">
        <f t="shared" si="97"/>
        <v>102.5</v>
      </c>
      <c r="AL17" s="1">
        <f t="shared" si="97"/>
        <v>105</v>
      </c>
      <c r="AM17" s="1">
        <f t="shared" si="97"/>
        <v>107.5</v>
      </c>
      <c r="AN17" s="1">
        <f t="shared" si="97"/>
        <v>110</v>
      </c>
      <c r="AO17" s="1">
        <f t="shared" si="97"/>
        <v>112.5</v>
      </c>
      <c r="AP17" s="1">
        <f t="shared" si="97"/>
        <v>115</v>
      </c>
      <c r="AQ17" s="1">
        <f t="shared" si="97"/>
        <v>117.5</v>
      </c>
      <c r="AR17" s="1">
        <f t="shared" si="97"/>
        <v>120</v>
      </c>
      <c r="AS17" s="1">
        <f t="shared" si="97"/>
        <v>122.5</v>
      </c>
      <c r="AT17" s="1">
        <f t="shared" si="97"/>
        <v>125</v>
      </c>
      <c r="AU17" s="1">
        <f t="shared" si="97"/>
        <v>127.5</v>
      </c>
      <c r="AV17" s="1">
        <f t="shared" si="97"/>
        <v>130</v>
      </c>
      <c r="AW17" s="1">
        <f t="shared" si="97"/>
        <v>132.5</v>
      </c>
      <c r="AX17" s="1">
        <f t="shared" si="97"/>
        <v>135</v>
      </c>
      <c r="AY17" s="1">
        <f t="shared" si="97"/>
        <v>137.5</v>
      </c>
      <c r="AZ17" s="1">
        <f t="shared" si="97"/>
        <v>140</v>
      </c>
      <c r="BA17" s="1">
        <f t="shared" si="97"/>
        <v>142.5</v>
      </c>
      <c r="BB17" s="1">
        <f t="shared" si="97"/>
        <v>145</v>
      </c>
      <c r="BC17" s="1">
        <f t="shared" si="97"/>
        <v>147.5</v>
      </c>
      <c r="BD17" s="1">
        <f t="shared" si="97"/>
        <v>150</v>
      </c>
      <c r="BE17" s="1">
        <f t="shared" si="97"/>
        <v>152.5</v>
      </c>
      <c r="BF17" s="1">
        <f t="shared" si="97"/>
        <v>155</v>
      </c>
      <c r="BG17" s="1">
        <f t="shared" si="97"/>
        <v>157.5</v>
      </c>
      <c r="BH17" s="1">
        <f t="shared" si="97"/>
        <v>160</v>
      </c>
      <c r="BI17" s="1">
        <f t="shared" si="97"/>
        <v>162.5</v>
      </c>
      <c r="BJ17" s="1">
        <f t="shared" si="97"/>
        <v>165</v>
      </c>
      <c r="BK17" s="1">
        <f t="shared" si="97"/>
        <v>167.5</v>
      </c>
      <c r="BL17" s="1">
        <f t="shared" si="97"/>
        <v>170</v>
      </c>
      <c r="BM17" s="1">
        <f t="shared" si="97"/>
        <v>172.5</v>
      </c>
      <c r="BN17" s="1">
        <f t="shared" si="97"/>
        <v>175</v>
      </c>
      <c r="BO17" s="1">
        <f t="shared" si="97"/>
        <v>177.5</v>
      </c>
      <c r="BP17" s="1">
        <f t="shared" ref="E17:BP21" si="102">IF($U$3=0,0,($U$2*BP$13)/($C17*$U$3))</f>
        <v>180</v>
      </c>
      <c r="BQ17" s="1">
        <f t="shared" si="98"/>
        <v>182.5</v>
      </c>
      <c r="BR17" s="1">
        <f t="shared" si="98"/>
        <v>185</v>
      </c>
      <c r="BS17" s="1">
        <f t="shared" si="98"/>
        <v>187.5</v>
      </c>
      <c r="BT17" s="1">
        <f t="shared" si="98"/>
        <v>190</v>
      </c>
      <c r="BU17" s="1">
        <f t="shared" si="98"/>
        <v>192.5</v>
      </c>
      <c r="BV17" s="1">
        <f t="shared" si="98"/>
        <v>195</v>
      </c>
      <c r="BW17" s="1">
        <f t="shared" si="98"/>
        <v>197.5</v>
      </c>
      <c r="BX17" s="1">
        <f t="shared" si="98"/>
        <v>200</v>
      </c>
      <c r="BY17" s="1">
        <f t="shared" si="98"/>
        <v>202.5</v>
      </c>
      <c r="BZ17" s="1">
        <f t="shared" si="98"/>
        <v>205</v>
      </c>
      <c r="CA17" s="1">
        <f t="shared" si="98"/>
        <v>207.5</v>
      </c>
      <c r="CB17" s="1">
        <f t="shared" si="98"/>
        <v>210</v>
      </c>
      <c r="CC17" s="1">
        <f t="shared" si="98"/>
        <v>212.5</v>
      </c>
      <c r="CD17" s="1">
        <f t="shared" si="98"/>
        <v>215</v>
      </c>
      <c r="CE17" s="1">
        <f t="shared" si="98"/>
        <v>217.5</v>
      </c>
      <c r="CF17" s="1">
        <f t="shared" si="98"/>
        <v>220</v>
      </c>
      <c r="CG17" s="1">
        <f t="shared" si="98"/>
        <v>222.5</v>
      </c>
      <c r="CH17" s="1">
        <f t="shared" si="98"/>
        <v>225</v>
      </c>
      <c r="CI17" s="1">
        <f t="shared" si="98"/>
        <v>227.5</v>
      </c>
      <c r="CJ17" s="1">
        <f t="shared" si="98"/>
        <v>230</v>
      </c>
      <c r="CK17" s="1">
        <f t="shared" si="98"/>
        <v>232.5</v>
      </c>
      <c r="CL17" s="1">
        <f t="shared" si="98"/>
        <v>235</v>
      </c>
      <c r="CM17" s="1">
        <f t="shared" si="98"/>
        <v>237.5</v>
      </c>
      <c r="CN17" s="1">
        <f t="shared" si="98"/>
        <v>240</v>
      </c>
      <c r="CO17" s="1">
        <f t="shared" si="98"/>
        <v>242.5</v>
      </c>
      <c r="CP17" s="1">
        <f t="shared" si="98"/>
        <v>245</v>
      </c>
      <c r="CQ17" s="1">
        <f t="shared" si="98"/>
        <v>247.5</v>
      </c>
      <c r="CR17" s="1">
        <f t="shared" si="98"/>
        <v>250</v>
      </c>
      <c r="CS17" s="1">
        <f t="shared" si="98"/>
        <v>252.5</v>
      </c>
      <c r="CT17" s="1">
        <f t="shared" si="98"/>
        <v>255</v>
      </c>
      <c r="CU17" s="1">
        <f t="shared" si="98"/>
        <v>257.5</v>
      </c>
      <c r="CV17" s="1">
        <f t="shared" si="98"/>
        <v>260</v>
      </c>
      <c r="CW17" s="1">
        <f t="shared" si="98"/>
        <v>262.5</v>
      </c>
      <c r="CX17" s="1">
        <f t="shared" si="98"/>
        <v>265</v>
      </c>
      <c r="CY17" s="1">
        <f t="shared" si="98"/>
        <v>267.5</v>
      </c>
      <c r="CZ17" s="1">
        <f t="shared" si="98"/>
        <v>270</v>
      </c>
      <c r="DA17" s="1">
        <f t="shared" si="98"/>
        <v>272.5</v>
      </c>
      <c r="DB17" s="1">
        <f t="shared" si="98"/>
        <v>275</v>
      </c>
      <c r="DC17" s="1">
        <f t="shared" si="98"/>
        <v>277.5</v>
      </c>
      <c r="DD17" s="1">
        <f t="shared" si="98"/>
        <v>280</v>
      </c>
      <c r="DE17" s="1">
        <f t="shared" si="98"/>
        <v>282.5</v>
      </c>
      <c r="DF17" s="1">
        <f t="shared" si="98"/>
        <v>285</v>
      </c>
      <c r="DG17" s="1">
        <f t="shared" si="98"/>
        <v>287.5</v>
      </c>
      <c r="DH17" s="1">
        <f t="shared" si="98"/>
        <v>290</v>
      </c>
      <c r="DI17" s="1">
        <f t="shared" si="98"/>
        <v>292.5</v>
      </c>
      <c r="DJ17" s="1">
        <f t="shared" si="98"/>
        <v>295</v>
      </c>
      <c r="DK17" s="1">
        <f t="shared" si="98"/>
        <v>297.5</v>
      </c>
      <c r="DL17" s="1">
        <f t="shared" si="98"/>
        <v>300</v>
      </c>
      <c r="DM17" s="1">
        <f t="shared" si="98"/>
        <v>302.5</v>
      </c>
      <c r="DN17" s="1">
        <f t="shared" si="98"/>
        <v>305</v>
      </c>
      <c r="DO17" s="1">
        <f t="shared" si="98"/>
        <v>307.5</v>
      </c>
      <c r="DP17" s="1">
        <f t="shared" si="98"/>
        <v>310</v>
      </c>
      <c r="DQ17" s="1">
        <f t="shared" si="98"/>
        <v>312.5</v>
      </c>
      <c r="DR17" s="1">
        <f t="shared" si="98"/>
        <v>315</v>
      </c>
      <c r="DS17" s="1">
        <f t="shared" si="98"/>
        <v>317.5</v>
      </c>
    </row>
    <row r="18" spans="1:123" x14ac:dyDescent="0.3">
      <c r="A18" s="81"/>
      <c r="B18" s="13" t="str">
        <f t="shared" si="99"/>
        <v>0x05</v>
      </c>
      <c r="C18" s="12">
        <f t="shared" si="101"/>
        <v>5</v>
      </c>
      <c r="D18" s="1">
        <f t="shared" si="100"/>
        <v>16</v>
      </c>
      <c r="E18" s="1">
        <f t="shared" si="102"/>
        <v>18</v>
      </c>
      <c r="F18" s="1">
        <f t="shared" si="102"/>
        <v>20</v>
      </c>
      <c r="G18" s="1">
        <f t="shared" si="102"/>
        <v>22</v>
      </c>
      <c r="H18" s="1">
        <f t="shared" si="102"/>
        <v>24</v>
      </c>
      <c r="I18" s="1">
        <f t="shared" si="102"/>
        <v>26</v>
      </c>
      <c r="J18" s="1">
        <f t="shared" si="102"/>
        <v>28</v>
      </c>
      <c r="K18" s="1">
        <f t="shared" si="102"/>
        <v>30</v>
      </c>
      <c r="L18" s="1">
        <f t="shared" si="102"/>
        <v>32</v>
      </c>
      <c r="M18" s="1">
        <f t="shared" si="102"/>
        <v>34</v>
      </c>
      <c r="N18" s="1">
        <f t="shared" si="102"/>
        <v>36</v>
      </c>
      <c r="O18" s="1">
        <f t="shared" si="102"/>
        <v>38</v>
      </c>
      <c r="P18" s="1">
        <f t="shared" si="102"/>
        <v>40</v>
      </c>
      <c r="Q18" s="1">
        <f t="shared" si="102"/>
        <v>42</v>
      </c>
      <c r="R18" s="1">
        <f t="shared" si="102"/>
        <v>44</v>
      </c>
      <c r="S18" s="1">
        <f t="shared" si="102"/>
        <v>46</v>
      </c>
      <c r="T18" s="1">
        <f t="shared" si="102"/>
        <v>48</v>
      </c>
      <c r="U18" s="1">
        <f t="shared" si="102"/>
        <v>50</v>
      </c>
      <c r="V18" s="1">
        <f t="shared" si="102"/>
        <v>52</v>
      </c>
      <c r="W18" s="1">
        <f t="shared" si="102"/>
        <v>54</v>
      </c>
      <c r="X18" s="1">
        <f t="shared" si="102"/>
        <v>56</v>
      </c>
      <c r="Y18" s="1">
        <f t="shared" si="102"/>
        <v>58</v>
      </c>
      <c r="Z18" s="1">
        <f t="shared" si="102"/>
        <v>60</v>
      </c>
      <c r="AA18" s="1">
        <f t="shared" si="102"/>
        <v>62</v>
      </c>
      <c r="AB18" s="1">
        <f t="shared" si="102"/>
        <v>64</v>
      </c>
      <c r="AC18" s="1">
        <f t="shared" si="102"/>
        <v>66</v>
      </c>
      <c r="AD18" s="1">
        <f t="shared" si="102"/>
        <v>68</v>
      </c>
      <c r="AE18" s="1">
        <f t="shared" si="102"/>
        <v>70</v>
      </c>
      <c r="AF18" s="1">
        <f t="shared" si="102"/>
        <v>72</v>
      </c>
      <c r="AG18" s="1">
        <f t="shared" si="102"/>
        <v>74</v>
      </c>
      <c r="AH18" s="1">
        <f t="shared" si="102"/>
        <v>76</v>
      </c>
      <c r="AI18" s="1">
        <f t="shared" si="102"/>
        <v>78</v>
      </c>
      <c r="AJ18" s="1">
        <f t="shared" si="102"/>
        <v>80</v>
      </c>
      <c r="AK18" s="1">
        <f t="shared" si="102"/>
        <v>82</v>
      </c>
      <c r="AL18" s="1">
        <f t="shared" si="102"/>
        <v>84</v>
      </c>
      <c r="AM18" s="1">
        <f t="shared" si="102"/>
        <v>86</v>
      </c>
      <c r="AN18" s="1">
        <f t="shared" si="102"/>
        <v>88</v>
      </c>
      <c r="AO18" s="1">
        <f t="shared" si="102"/>
        <v>90</v>
      </c>
      <c r="AP18" s="1">
        <f t="shared" si="102"/>
        <v>92</v>
      </c>
      <c r="AQ18" s="1">
        <f t="shared" si="102"/>
        <v>94</v>
      </c>
      <c r="AR18" s="1">
        <f t="shared" si="102"/>
        <v>96</v>
      </c>
      <c r="AS18" s="1">
        <f t="shared" si="102"/>
        <v>98</v>
      </c>
      <c r="AT18" s="1">
        <f t="shared" si="102"/>
        <v>100</v>
      </c>
      <c r="AU18" s="1">
        <f t="shared" si="102"/>
        <v>102</v>
      </c>
      <c r="AV18" s="1">
        <f t="shared" si="102"/>
        <v>104</v>
      </c>
      <c r="AW18" s="1">
        <f t="shared" si="102"/>
        <v>106</v>
      </c>
      <c r="AX18" s="1">
        <f t="shared" si="102"/>
        <v>108</v>
      </c>
      <c r="AY18" s="1">
        <f t="shared" si="102"/>
        <v>110</v>
      </c>
      <c r="AZ18" s="1">
        <f t="shared" si="102"/>
        <v>112</v>
      </c>
      <c r="BA18" s="1">
        <f t="shared" si="102"/>
        <v>114</v>
      </c>
      <c r="BB18" s="1">
        <f t="shared" si="102"/>
        <v>116</v>
      </c>
      <c r="BC18" s="1">
        <f t="shared" si="102"/>
        <v>118</v>
      </c>
      <c r="BD18" s="1">
        <f t="shared" si="102"/>
        <v>120</v>
      </c>
      <c r="BE18" s="1">
        <f t="shared" si="102"/>
        <v>122</v>
      </c>
      <c r="BF18" s="1">
        <f t="shared" si="102"/>
        <v>124</v>
      </c>
      <c r="BG18" s="1">
        <f t="shared" si="102"/>
        <v>126</v>
      </c>
      <c r="BH18" s="1">
        <f t="shared" si="102"/>
        <v>128</v>
      </c>
      <c r="BI18" s="1">
        <f t="shared" si="102"/>
        <v>130</v>
      </c>
      <c r="BJ18" s="1">
        <f t="shared" si="102"/>
        <v>132</v>
      </c>
      <c r="BK18" s="1">
        <f t="shared" si="102"/>
        <v>134</v>
      </c>
      <c r="BL18" s="1">
        <f t="shared" si="102"/>
        <v>136</v>
      </c>
      <c r="BM18" s="1">
        <f t="shared" si="102"/>
        <v>138</v>
      </c>
      <c r="BN18" s="1">
        <f t="shared" si="102"/>
        <v>140</v>
      </c>
      <c r="BO18" s="1">
        <f t="shared" si="102"/>
        <v>142</v>
      </c>
      <c r="BP18" s="1">
        <f t="shared" si="102"/>
        <v>144</v>
      </c>
      <c r="BQ18" s="1">
        <f t="shared" si="98"/>
        <v>146</v>
      </c>
      <c r="BR18" s="1">
        <f t="shared" si="98"/>
        <v>148</v>
      </c>
      <c r="BS18" s="1">
        <f t="shared" si="98"/>
        <v>150</v>
      </c>
      <c r="BT18" s="1">
        <f t="shared" si="98"/>
        <v>152</v>
      </c>
      <c r="BU18" s="1">
        <f t="shared" si="98"/>
        <v>154</v>
      </c>
      <c r="BV18" s="1">
        <f t="shared" si="98"/>
        <v>156</v>
      </c>
      <c r="BW18" s="1">
        <f t="shared" si="98"/>
        <v>158</v>
      </c>
      <c r="BX18" s="1">
        <f t="shared" si="98"/>
        <v>160</v>
      </c>
      <c r="BY18" s="1">
        <f t="shared" si="98"/>
        <v>162</v>
      </c>
      <c r="BZ18" s="1">
        <f t="shared" si="98"/>
        <v>164</v>
      </c>
      <c r="CA18" s="1">
        <f t="shared" si="98"/>
        <v>166</v>
      </c>
      <c r="CB18" s="1">
        <f t="shared" si="98"/>
        <v>168</v>
      </c>
      <c r="CC18" s="1">
        <f t="shared" si="98"/>
        <v>170</v>
      </c>
      <c r="CD18" s="1">
        <f t="shared" si="98"/>
        <v>172</v>
      </c>
      <c r="CE18" s="1">
        <f t="shared" si="98"/>
        <v>174</v>
      </c>
      <c r="CF18" s="1">
        <f t="shared" si="98"/>
        <v>176</v>
      </c>
      <c r="CG18" s="1">
        <f t="shared" si="98"/>
        <v>178</v>
      </c>
      <c r="CH18" s="1">
        <f t="shared" si="98"/>
        <v>180</v>
      </c>
      <c r="CI18" s="1">
        <f t="shared" si="98"/>
        <v>182</v>
      </c>
      <c r="CJ18" s="1">
        <f t="shared" si="98"/>
        <v>184</v>
      </c>
      <c r="CK18" s="1">
        <f t="shared" si="98"/>
        <v>186</v>
      </c>
      <c r="CL18" s="1">
        <f t="shared" si="98"/>
        <v>188</v>
      </c>
      <c r="CM18" s="1">
        <f t="shared" si="98"/>
        <v>190</v>
      </c>
      <c r="CN18" s="1">
        <f t="shared" si="98"/>
        <v>192</v>
      </c>
      <c r="CO18" s="1">
        <f t="shared" si="98"/>
        <v>194</v>
      </c>
      <c r="CP18" s="1">
        <f t="shared" si="98"/>
        <v>196</v>
      </c>
      <c r="CQ18" s="1">
        <f t="shared" si="98"/>
        <v>198</v>
      </c>
      <c r="CR18" s="1">
        <f t="shared" si="98"/>
        <v>200</v>
      </c>
      <c r="CS18" s="1">
        <f t="shared" si="98"/>
        <v>202</v>
      </c>
      <c r="CT18" s="1">
        <f t="shared" si="98"/>
        <v>204</v>
      </c>
      <c r="CU18" s="1">
        <f t="shared" si="98"/>
        <v>206</v>
      </c>
      <c r="CV18" s="1">
        <f t="shared" si="98"/>
        <v>208</v>
      </c>
      <c r="CW18" s="1">
        <f t="shared" si="98"/>
        <v>210</v>
      </c>
      <c r="CX18" s="1">
        <f t="shared" si="98"/>
        <v>212</v>
      </c>
      <c r="CY18" s="1">
        <f t="shared" si="98"/>
        <v>214</v>
      </c>
      <c r="CZ18" s="1">
        <f t="shared" ref="CZ18:DO33" si="103">IF($U$3=0,0,($U$2*CZ$13)/($C18*$U$3))</f>
        <v>216</v>
      </c>
      <c r="DA18" s="1">
        <f t="shared" si="103"/>
        <v>218</v>
      </c>
      <c r="DB18" s="1">
        <f t="shared" si="103"/>
        <v>220</v>
      </c>
      <c r="DC18" s="1">
        <f t="shared" si="103"/>
        <v>222</v>
      </c>
      <c r="DD18" s="1">
        <f t="shared" si="103"/>
        <v>224</v>
      </c>
      <c r="DE18" s="1">
        <f t="shared" si="103"/>
        <v>226</v>
      </c>
      <c r="DF18" s="1">
        <f t="shared" si="103"/>
        <v>228</v>
      </c>
      <c r="DG18" s="1">
        <f t="shared" si="103"/>
        <v>230</v>
      </c>
      <c r="DH18" s="1">
        <f t="shared" si="103"/>
        <v>232</v>
      </c>
      <c r="DI18" s="1">
        <f t="shared" si="103"/>
        <v>234</v>
      </c>
      <c r="DJ18" s="1">
        <f t="shared" si="103"/>
        <v>236</v>
      </c>
      <c r="DK18" s="1">
        <f t="shared" si="103"/>
        <v>238</v>
      </c>
      <c r="DL18" s="1">
        <f t="shared" si="103"/>
        <v>240</v>
      </c>
      <c r="DM18" s="1">
        <f t="shared" si="103"/>
        <v>242</v>
      </c>
      <c r="DN18" s="1">
        <f t="shared" si="103"/>
        <v>244</v>
      </c>
      <c r="DO18" s="1">
        <f t="shared" si="103"/>
        <v>246</v>
      </c>
      <c r="DP18" s="1">
        <f t="shared" ref="DP18:DS33" si="104">IF($U$3=0,0,($U$2*DP$13)/($C18*$U$3))</f>
        <v>248</v>
      </c>
      <c r="DQ18" s="1">
        <f t="shared" si="104"/>
        <v>250</v>
      </c>
      <c r="DR18" s="1">
        <f t="shared" si="104"/>
        <v>252</v>
      </c>
      <c r="DS18" s="1">
        <f t="shared" si="104"/>
        <v>254</v>
      </c>
    </row>
    <row r="19" spans="1:123" x14ac:dyDescent="0.3">
      <c r="A19" s="81"/>
      <c r="B19" s="13" t="str">
        <f t="shared" si="99"/>
        <v>0x06</v>
      </c>
      <c r="C19" s="12">
        <f t="shared" si="101"/>
        <v>6</v>
      </c>
      <c r="D19" s="1">
        <f t="shared" si="100"/>
        <v>13.333333333333334</v>
      </c>
      <c r="E19" s="1">
        <f t="shared" si="102"/>
        <v>15</v>
      </c>
      <c r="F19" s="1">
        <f t="shared" si="102"/>
        <v>16.666666666666668</v>
      </c>
      <c r="G19" s="1">
        <f t="shared" si="102"/>
        <v>18.333333333333332</v>
      </c>
      <c r="H19" s="1">
        <f t="shared" si="102"/>
        <v>20</v>
      </c>
      <c r="I19" s="1">
        <f t="shared" si="102"/>
        <v>21.666666666666668</v>
      </c>
      <c r="J19" s="1">
        <f t="shared" si="102"/>
        <v>23.333333333333332</v>
      </c>
      <c r="K19" s="1">
        <f t="shared" si="102"/>
        <v>25</v>
      </c>
      <c r="L19" s="1">
        <f t="shared" si="102"/>
        <v>26.666666666666668</v>
      </c>
      <c r="M19" s="1">
        <f t="shared" si="102"/>
        <v>28.333333333333332</v>
      </c>
      <c r="N19" s="1">
        <f t="shared" si="102"/>
        <v>30</v>
      </c>
      <c r="O19" s="1">
        <f t="shared" si="102"/>
        <v>31.666666666666668</v>
      </c>
      <c r="P19" s="1">
        <f t="shared" si="102"/>
        <v>33.333333333333336</v>
      </c>
      <c r="Q19" s="1">
        <f t="shared" si="102"/>
        <v>35</v>
      </c>
      <c r="R19" s="1">
        <f t="shared" si="102"/>
        <v>36.666666666666664</v>
      </c>
      <c r="S19" s="1">
        <f t="shared" si="102"/>
        <v>38.333333333333336</v>
      </c>
      <c r="T19" s="1">
        <f t="shared" si="102"/>
        <v>40</v>
      </c>
      <c r="U19" s="1">
        <f t="shared" si="102"/>
        <v>41.666666666666664</v>
      </c>
      <c r="V19" s="1">
        <f t="shared" si="102"/>
        <v>43.333333333333336</v>
      </c>
      <c r="W19" s="1">
        <f t="shared" si="102"/>
        <v>45</v>
      </c>
      <c r="X19" s="1">
        <f t="shared" si="102"/>
        <v>46.666666666666664</v>
      </c>
      <c r="Y19" s="1">
        <f t="shared" si="102"/>
        <v>48.333333333333336</v>
      </c>
      <c r="Z19" s="1">
        <f t="shared" si="102"/>
        <v>50</v>
      </c>
      <c r="AA19" s="1">
        <f t="shared" si="102"/>
        <v>51.666666666666664</v>
      </c>
      <c r="AB19" s="1">
        <f t="shared" si="102"/>
        <v>53.333333333333336</v>
      </c>
      <c r="AC19" s="1">
        <f t="shared" si="102"/>
        <v>55</v>
      </c>
      <c r="AD19" s="1">
        <f t="shared" si="102"/>
        <v>56.666666666666664</v>
      </c>
      <c r="AE19" s="1">
        <f t="shared" si="102"/>
        <v>58.333333333333336</v>
      </c>
      <c r="AF19" s="1">
        <f t="shared" si="102"/>
        <v>60</v>
      </c>
      <c r="AG19" s="1">
        <f t="shared" si="102"/>
        <v>61.666666666666664</v>
      </c>
      <c r="AH19" s="1">
        <f t="shared" si="102"/>
        <v>63.333333333333336</v>
      </c>
      <c r="AI19" s="1">
        <f t="shared" si="102"/>
        <v>65</v>
      </c>
      <c r="AJ19" s="1">
        <f t="shared" si="102"/>
        <v>66.666666666666671</v>
      </c>
      <c r="AK19" s="1">
        <f t="shared" si="102"/>
        <v>68.333333333333329</v>
      </c>
      <c r="AL19" s="1">
        <f t="shared" si="102"/>
        <v>70</v>
      </c>
      <c r="AM19" s="1">
        <f t="shared" si="102"/>
        <v>71.666666666666671</v>
      </c>
      <c r="AN19" s="1">
        <f t="shared" si="102"/>
        <v>73.333333333333329</v>
      </c>
      <c r="AO19" s="1">
        <f t="shared" si="102"/>
        <v>75</v>
      </c>
      <c r="AP19" s="1">
        <f t="shared" si="102"/>
        <v>76.666666666666671</v>
      </c>
      <c r="AQ19" s="1">
        <f t="shared" si="102"/>
        <v>78.333333333333329</v>
      </c>
      <c r="AR19" s="1">
        <f t="shared" si="102"/>
        <v>80</v>
      </c>
      <c r="AS19" s="1">
        <f t="shared" si="102"/>
        <v>81.666666666666671</v>
      </c>
      <c r="AT19" s="1">
        <f t="shared" si="102"/>
        <v>83.333333333333329</v>
      </c>
      <c r="AU19" s="1">
        <f t="shared" si="102"/>
        <v>85</v>
      </c>
      <c r="AV19" s="1">
        <f t="shared" si="102"/>
        <v>86.666666666666671</v>
      </c>
      <c r="AW19" s="1">
        <f t="shared" si="102"/>
        <v>88.333333333333329</v>
      </c>
      <c r="AX19" s="1">
        <f t="shared" si="102"/>
        <v>90</v>
      </c>
      <c r="AY19" s="1">
        <f t="shared" si="102"/>
        <v>91.666666666666671</v>
      </c>
      <c r="AZ19" s="1">
        <f t="shared" si="102"/>
        <v>93.333333333333329</v>
      </c>
      <c r="BA19" s="1">
        <f t="shared" si="102"/>
        <v>95</v>
      </c>
      <c r="BB19" s="1">
        <f t="shared" si="102"/>
        <v>96.666666666666671</v>
      </c>
      <c r="BC19" s="1">
        <f t="shared" si="102"/>
        <v>98.333333333333329</v>
      </c>
      <c r="BD19" s="1">
        <f t="shared" si="102"/>
        <v>100</v>
      </c>
      <c r="BE19" s="1">
        <f t="shared" si="102"/>
        <v>101.66666666666667</v>
      </c>
      <c r="BF19" s="1">
        <f t="shared" si="102"/>
        <v>103.33333333333333</v>
      </c>
      <c r="BG19" s="1">
        <f t="shared" si="102"/>
        <v>105</v>
      </c>
      <c r="BH19" s="1">
        <f t="shared" si="102"/>
        <v>106.66666666666667</v>
      </c>
      <c r="BI19" s="1">
        <f t="shared" si="102"/>
        <v>108.33333333333333</v>
      </c>
      <c r="BJ19" s="1">
        <f t="shared" si="102"/>
        <v>110</v>
      </c>
      <c r="BK19" s="1">
        <f t="shared" si="102"/>
        <v>111.66666666666667</v>
      </c>
      <c r="BL19" s="1">
        <f t="shared" si="102"/>
        <v>113.33333333333333</v>
      </c>
      <c r="BM19" s="1">
        <f t="shared" si="102"/>
        <v>115</v>
      </c>
      <c r="BN19" s="1">
        <f t="shared" si="102"/>
        <v>116.66666666666667</v>
      </c>
      <c r="BO19" s="1">
        <f t="shared" si="102"/>
        <v>118.33333333333333</v>
      </c>
      <c r="BP19" s="1">
        <f t="shared" si="102"/>
        <v>120</v>
      </c>
      <c r="BQ19" s="1">
        <f t="shared" ref="BQ19:CF34" si="105">IF($U$3=0,0,($U$2*BQ$13)/($C19*$U$3))</f>
        <v>121.66666666666667</v>
      </c>
      <c r="BR19" s="1">
        <f t="shared" si="105"/>
        <v>123.33333333333333</v>
      </c>
      <c r="BS19" s="1">
        <f t="shared" si="105"/>
        <v>125</v>
      </c>
      <c r="BT19" s="1">
        <f t="shared" si="105"/>
        <v>126.66666666666667</v>
      </c>
      <c r="BU19" s="1">
        <f t="shared" si="105"/>
        <v>128.33333333333334</v>
      </c>
      <c r="BV19" s="1">
        <f t="shared" si="105"/>
        <v>130</v>
      </c>
      <c r="BW19" s="1">
        <f t="shared" si="105"/>
        <v>131.66666666666666</v>
      </c>
      <c r="BX19" s="1">
        <f t="shared" si="105"/>
        <v>133.33333333333334</v>
      </c>
      <c r="BY19" s="1">
        <f t="shared" si="105"/>
        <v>135</v>
      </c>
      <c r="BZ19" s="1">
        <f t="shared" si="105"/>
        <v>136.66666666666666</v>
      </c>
      <c r="CA19" s="1">
        <f t="shared" si="105"/>
        <v>138.33333333333334</v>
      </c>
      <c r="CB19" s="1">
        <f t="shared" si="105"/>
        <v>140</v>
      </c>
      <c r="CC19" s="1">
        <f t="shared" si="105"/>
        <v>141.66666666666666</v>
      </c>
      <c r="CD19" s="1">
        <f t="shared" si="105"/>
        <v>143.33333333333334</v>
      </c>
      <c r="CE19" s="1">
        <f t="shared" si="105"/>
        <v>145</v>
      </c>
      <c r="CF19" s="1">
        <f t="shared" si="105"/>
        <v>146.66666666666666</v>
      </c>
      <c r="CG19" s="1">
        <f t="shared" ref="CG19:CV48" si="106">IF($U$3=0,0,($U$2*CG$13)/($C19*$U$3))</f>
        <v>148.33333333333334</v>
      </c>
      <c r="CH19" s="1">
        <f t="shared" si="106"/>
        <v>150</v>
      </c>
      <c r="CI19" s="1">
        <f t="shared" si="106"/>
        <v>151.66666666666666</v>
      </c>
      <c r="CJ19" s="1">
        <f t="shared" si="106"/>
        <v>153.33333333333334</v>
      </c>
      <c r="CK19" s="1">
        <f t="shared" si="106"/>
        <v>155</v>
      </c>
      <c r="CL19" s="1">
        <f t="shared" si="106"/>
        <v>156.66666666666666</v>
      </c>
      <c r="CM19" s="1">
        <f t="shared" si="106"/>
        <v>158.33333333333334</v>
      </c>
      <c r="CN19" s="1">
        <f t="shared" si="106"/>
        <v>160</v>
      </c>
      <c r="CO19" s="1">
        <f t="shared" si="106"/>
        <v>161.66666666666666</v>
      </c>
      <c r="CP19" s="1">
        <f t="shared" si="106"/>
        <v>163.33333333333334</v>
      </c>
      <c r="CQ19" s="1">
        <f t="shared" si="106"/>
        <v>165</v>
      </c>
      <c r="CR19" s="1">
        <f t="shared" si="106"/>
        <v>166.66666666666666</v>
      </c>
      <c r="CS19" s="1">
        <f t="shared" si="106"/>
        <v>168.33333333333334</v>
      </c>
      <c r="CT19" s="1">
        <f t="shared" si="106"/>
        <v>170</v>
      </c>
      <c r="CU19" s="1">
        <f t="shared" si="106"/>
        <v>171.66666666666666</v>
      </c>
      <c r="CV19" s="1">
        <f t="shared" si="106"/>
        <v>173.33333333333334</v>
      </c>
      <c r="CW19" s="1">
        <f t="shared" ref="CW19:DL34" si="107">IF($U$3=0,0,($U$2*CW$13)/($C19*$U$3))</f>
        <v>175</v>
      </c>
      <c r="CX19" s="1">
        <f t="shared" si="107"/>
        <v>176.66666666666666</v>
      </c>
      <c r="CY19" s="1">
        <f t="shared" si="107"/>
        <v>178.33333333333334</v>
      </c>
      <c r="CZ19" s="1">
        <f t="shared" si="107"/>
        <v>180</v>
      </c>
      <c r="DA19" s="1">
        <f t="shared" si="107"/>
        <v>181.66666666666666</v>
      </c>
      <c r="DB19" s="1">
        <f t="shared" si="107"/>
        <v>183.33333333333334</v>
      </c>
      <c r="DC19" s="1">
        <f t="shared" si="107"/>
        <v>185</v>
      </c>
      <c r="DD19" s="1">
        <f t="shared" si="107"/>
        <v>186.66666666666666</v>
      </c>
      <c r="DE19" s="1">
        <f t="shared" si="107"/>
        <v>188.33333333333334</v>
      </c>
      <c r="DF19" s="1">
        <f t="shared" si="107"/>
        <v>190</v>
      </c>
      <c r="DG19" s="1">
        <f t="shared" si="107"/>
        <v>191.66666666666666</v>
      </c>
      <c r="DH19" s="1">
        <f t="shared" si="107"/>
        <v>193.33333333333334</v>
      </c>
      <c r="DI19" s="1">
        <f t="shared" si="107"/>
        <v>195</v>
      </c>
      <c r="DJ19" s="1">
        <f t="shared" si="107"/>
        <v>196.66666666666666</v>
      </c>
      <c r="DK19" s="1">
        <f t="shared" si="107"/>
        <v>198.33333333333334</v>
      </c>
      <c r="DL19" s="1">
        <f t="shared" si="107"/>
        <v>200</v>
      </c>
      <c r="DM19" s="1">
        <f t="shared" si="103"/>
        <v>201.66666666666666</v>
      </c>
      <c r="DN19" s="1">
        <f t="shared" si="103"/>
        <v>203.33333333333334</v>
      </c>
      <c r="DO19" s="1">
        <f t="shared" si="103"/>
        <v>205</v>
      </c>
      <c r="DP19" s="1">
        <f t="shared" si="104"/>
        <v>206.66666666666666</v>
      </c>
      <c r="DQ19" s="1">
        <f t="shared" si="104"/>
        <v>208.33333333333334</v>
      </c>
      <c r="DR19" s="1">
        <f t="shared" si="104"/>
        <v>210</v>
      </c>
      <c r="DS19" s="1">
        <f t="shared" si="104"/>
        <v>211.66666666666666</v>
      </c>
    </row>
    <row r="20" spans="1:123" x14ac:dyDescent="0.3">
      <c r="A20" s="81"/>
      <c r="B20" s="13" t="str">
        <f t="shared" si="99"/>
        <v>0x07</v>
      </c>
      <c r="C20" s="12">
        <f t="shared" si="101"/>
        <v>7</v>
      </c>
      <c r="D20" s="1">
        <f t="shared" si="100"/>
        <v>11.428571428571429</v>
      </c>
      <c r="E20" s="1">
        <f t="shared" si="102"/>
        <v>12.857142857142858</v>
      </c>
      <c r="F20" s="1">
        <f t="shared" si="102"/>
        <v>14.285714285714286</v>
      </c>
      <c r="G20" s="1">
        <f t="shared" si="102"/>
        <v>15.714285714285714</v>
      </c>
      <c r="H20" s="1">
        <f t="shared" si="102"/>
        <v>17.142857142857142</v>
      </c>
      <c r="I20" s="1">
        <f t="shared" si="102"/>
        <v>18.571428571428573</v>
      </c>
      <c r="J20" s="1">
        <f t="shared" si="102"/>
        <v>20</v>
      </c>
      <c r="K20" s="1">
        <f t="shared" si="102"/>
        <v>21.428571428571427</v>
      </c>
      <c r="L20" s="1">
        <f t="shared" si="102"/>
        <v>22.857142857142858</v>
      </c>
      <c r="M20" s="1">
        <f t="shared" si="102"/>
        <v>24.285714285714285</v>
      </c>
      <c r="N20" s="1">
        <f t="shared" si="102"/>
        <v>25.714285714285715</v>
      </c>
      <c r="O20" s="1">
        <f t="shared" si="102"/>
        <v>27.142857142857142</v>
      </c>
      <c r="P20" s="1">
        <f t="shared" si="102"/>
        <v>28.571428571428573</v>
      </c>
      <c r="Q20" s="1">
        <f t="shared" si="102"/>
        <v>30</v>
      </c>
      <c r="R20" s="1">
        <f t="shared" si="102"/>
        <v>31.428571428571427</v>
      </c>
      <c r="S20" s="1">
        <f t="shared" si="102"/>
        <v>32.857142857142854</v>
      </c>
      <c r="T20" s="1">
        <f t="shared" si="102"/>
        <v>34.285714285714285</v>
      </c>
      <c r="U20" s="1">
        <f t="shared" si="102"/>
        <v>35.714285714285715</v>
      </c>
      <c r="V20" s="1">
        <f t="shared" si="102"/>
        <v>37.142857142857146</v>
      </c>
      <c r="W20" s="1">
        <f t="shared" si="102"/>
        <v>38.571428571428569</v>
      </c>
      <c r="X20" s="1">
        <f t="shared" si="102"/>
        <v>40</v>
      </c>
      <c r="Y20" s="1">
        <f t="shared" si="102"/>
        <v>41.428571428571431</v>
      </c>
      <c r="Z20" s="1">
        <f t="shared" si="102"/>
        <v>42.857142857142854</v>
      </c>
      <c r="AA20" s="1">
        <f t="shared" si="102"/>
        <v>44.285714285714285</v>
      </c>
      <c r="AB20" s="1">
        <f t="shared" si="102"/>
        <v>45.714285714285715</v>
      </c>
      <c r="AC20" s="1">
        <f t="shared" si="102"/>
        <v>47.142857142857146</v>
      </c>
      <c r="AD20" s="1">
        <f t="shared" si="102"/>
        <v>48.571428571428569</v>
      </c>
      <c r="AE20" s="1">
        <f t="shared" si="102"/>
        <v>50</v>
      </c>
      <c r="AF20" s="1">
        <f t="shared" si="102"/>
        <v>51.428571428571431</v>
      </c>
      <c r="AG20" s="1">
        <f t="shared" si="102"/>
        <v>52.857142857142854</v>
      </c>
      <c r="AH20" s="1">
        <f t="shared" si="102"/>
        <v>54.285714285714285</v>
      </c>
      <c r="AI20" s="1">
        <f t="shared" si="102"/>
        <v>55.714285714285715</v>
      </c>
      <c r="AJ20" s="1">
        <f t="shared" si="102"/>
        <v>57.142857142857146</v>
      </c>
      <c r="AK20" s="1">
        <f t="shared" si="102"/>
        <v>58.571428571428569</v>
      </c>
      <c r="AL20" s="1">
        <f t="shared" si="102"/>
        <v>60</v>
      </c>
      <c r="AM20" s="1">
        <f t="shared" si="102"/>
        <v>61.428571428571431</v>
      </c>
      <c r="AN20" s="1">
        <f t="shared" si="102"/>
        <v>62.857142857142854</v>
      </c>
      <c r="AO20" s="1">
        <f t="shared" si="102"/>
        <v>64.285714285714292</v>
      </c>
      <c r="AP20" s="1">
        <f t="shared" si="102"/>
        <v>65.714285714285708</v>
      </c>
      <c r="AQ20" s="1">
        <f t="shared" si="102"/>
        <v>67.142857142857139</v>
      </c>
      <c r="AR20" s="1">
        <f t="shared" si="102"/>
        <v>68.571428571428569</v>
      </c>
      <c r="AS20" s="1">
        <f t="shared" si="102"/>
        <v>70</v>
      </c>
      <c r="AT20" s="1">
        <f t="shared" si="102"/>
        <v>71.428571428571431</v>
      </c>
      <c r="AU20" s="1">
        <f t="shared" si="102"/>
        <v>72.857142857142861</v>
      </c>
      <c r="AV20" s="1">
        <f t="shared" si="102"/>
        <v>74.285714285714292</v>
      </c>
      <c r="AW20" s="1">
        <f t="shared" si="102"/>
        <v>75.714285714285708</v>
      </c>
      <c r="AX20" s="1">
        <f t="shared" si="102"/>
        <v>77.142857142857139</v>
      </c>
      <c r="AY20" s="1">
        <f t="shared" si="102"/>
        <v>78.571428571428569</v>
      </c>
      <c r="AZ20" s="1">
        <f t="shared" si="102"/>
        <v>80</v>
      </c>
      <c r="BA20" s="1">
        <f t="shared" si="102"/>
        <v>81.428571428571431</v>
      </c>
      <c r="BB20" s="1">
        <f t="shared" si="102"/>
        <v>82.857142857142861</v>
      </c>
      <c r="BC20" s="1">
        <f t="shared" si="102"/>
        <v>84.285714285714292</v>
      </c>
      <c r="BD20" s="1">
        <f t="shared" si="102"/>
        <v>85.714285714285708</v>
      </c>
      <c r="BE20" s="1">
        <f t="shared" si="102"/>
        <v>87.142857142857139</v>
      </c>
      <c r="BF20" s="1">
        <f t="shared" si="102"/>
        <v>88.571428571428569</v>
      </c>
      <c r="BG20" s="1">
        <f t="shared" si="102"/>
        <v>90</v>
      </c>
      <c r="BH20" s="1">
        <f t="shared" si="102"/>
        <v>91.428571428571431</v>
      </c>
      <c r="BI20" s="1">
        <f t="shared" si="102"/>
        <v>92.857142857142861</v>
      </c>
      <c r="BJ20" s="1">
        <f t="shared" si="102"/>
        <v>94.285714285714292</v>
      </c>
      <c r="BK20" s="1">
        <f t="shared" si="102"/>
        <v>95.714285714285708</v>
      </c>
      <c r="BL20" s="1">
        <f t="shared" si="102"/>
        <v>97.142857142857139</v>
      </c>
      <c r="BM20" s="1">
        <f t="shared" si="102"/>
        <v>98.571428571428569</v>
      </c>
      <c r="BN20" s="1">
        <f t="shared" si="102"/>
        <v>100</v>
      </c>
      <c r="BO20" s="1">
        <f t="shared" si="102"/>
        <v>101.42857142857143</v>
      </c>
      <c r="BP20" s="1">
        <f t="shared" si="102"/>
        <v>102.85714285714286</v>
      </c>
      <c r="BQ20" s="1">
        <f t="shared" si="105"/>
        <v>104.28571428571429</v>
      </c>
      <c r="BR20" s="1">
        <f t="shared" si="105"/>
        <v>105.71428571428571</v>
      </c>
      <c r="BS20" s="1">
        <f t="shared" si="105"/>
        <v>107.14285714285714</v>
      </c>
      <c r="BT20" s="1">
        <f t="shared" si="105"/>
        <v>108.57142857142857</v>
      </c>
      <c r="BU20" s="1">
        <f t="shared" si="105"/>
        <v>110</v>
      </c>
      <c r="BV20" s="1">
        <f t="shared" si="105"/>
        <v>111.42857142857143</v>
      </c>
      <c r="BW20" s="1">
        <f t="shared" si="105"/>
        <v>112.85714285714286</v>
      </c>
      <c r="BX20" s="1">
        <f t="shared" si="105"/>
        <v>114.28571428571429</v>
      </c>
      <c r="BY20" s="1">
        <f t="shared" si="105"/>
        <v>115.71428571428571</v>
      </c>
      <c r="BZ20" s="1">
        <f t="shared" si="105"/>
        <v>117.14285714285714</v>
      </c>
      <c r="CA20" s="1">
        <f t="shared" si="105"/>
        <v>118.57142857142857</v>
      </c>
      <c r="CB20" s="1">
        <f t="shared" si="105"/>
        <v>120</v>
      </c>
      <c r="CC20" s="1">
        <f t="shared" si="105"/>
        <v>121.42857142857143</v>
      </c>
      <c r="CD20" s="1">
        <f t="shared" si="105"/>
        <v>122.85714285714286</v>
      </c>
      <c r="CE20" s="1">
        <f t="shared" si="105"/>
        <v>124.28571428571429</v>
      </c>
      <c r="CF20" s="1">
        <f t="shared" si="105"/>
        <v>125.71428571428571</v>
      </c>
      <c r="CG20" s="1">
        <f t="shared" si="106"/>
        <v>127.14285714285714</v>
      </c>
      <c r="CH20" s="1">
        <f t="shared" si="106"/>
        <v>128.57142857142858</v>
      </c>
      <c r="CI20" s="1">
        <f t="shared" si="106"/>
        <v>130</v>
      </c>
      <c r="CJ20" s="1">
        <f t="shared" si="106"/>
        <v>131.42857142857142</v>
      </c>
      <c r="CK20" s="1">
        <f t="shared" si="106"/>
        <v>132.85714285714286</v>
      </c>
      <c r="CL20" s="1">
        <f t="shared" si="106"/>
        <v>134.28571428571428</v>
      </c>
      <c r="CM20" s="1">
        <f t="shared" si="106"/>
        <v>135.71428571428572</v>
      </c>
      <c r="CN20" s="1">
        <f t="shared" si="106"/>
        <v>137.14285714285714</v>
      </c>
      <c r="CO20" s="1">
        <f t="shared" si="106"/>
        <v>138.57142857142858</v>
      </c>
      <c r="CP20" s="1">
        <f t="shared" si="106"/>
        <v>140</v>
      </c>
      <c r="CQ20" s="1">
        <f t="shared" si="106"/>
        <v>141.42857142857142</v>
      </c>
      <c r="CR20" s="1">
        <f t="shared" si="106"/>
        <v>142.85714285714286</v>
      </c>
      <c r="CS20" s="1">
        <f t="shared" si="106"/>
        <v>144.28571428571428</v>
      </c>
      <c r="CT20" s="1">
        <f t="shared" si="106"/>
        <v>145.71428571428572</v>
      </c>
      <c r="CU20" s="1">
        <f t="shared" si="106"/>
        <v>147.14285714285714</v>
      </c>
      <c r="CV20" s="1">
        <f t="shared" si="106"/>
        <v>148.57142857142858</v>
      </c>
      <c r="CW20" s="1">
        <f t="shared" si="107"/>
        <v>150</v>
      </c>
      <c r="CX20" s="1">
        <f t="shared" si="107"/>
        <v>151.42857142857142</v>
      </c>
      <c r="CY20" s="1">
        <f t="shared" si="107"/>
        <v>152.85714285714286</v>
      </c>
      <c r="CZ20" s="1">
        <f t="shared" si="107"/>
        <v>154.28571428571428</v>
      </c>
      <c r="DA20" s="1">
        <f t="shared" si="107"/>
        <v>155.71428571428572</v>
      </c>
      <c r="DB20" s="1">
        <f t="shared" si="107"/>
        <v>157.14285714285714</v>
      </c>
      <c r="DC20" s="1">
        <f t="shared" si="107"/>
        <v>158.57142857142858</v>
      </c>
      <c r="DD20" s="1">
        <f t="shared" si="107"/>
        <v>160</v>
      </c>
      <c r="DE20" s="1">
        <f t="shared" si="107"/>
        <v>161.42857142857142</v>
      </c>
      <c r="DF20" s="1">
        <f t="shared" si="107"/>
        <v>162.85714285714286</v>
      </c>
      <c r="DG20" s="1">
        <f t="shared" si="107"/>
        <v>164.28571428571428</v>
      </c>
      <c r="DH20" s="1">
        <f t="shared" si="107"/>
        <v>165.71428571428572</v>
      </c>
      <c r="DI20" s="1">
        <f t="shared" si="107"/>
        <v>167.14285714285714</v>
      </c>
      <c r="DJ20" s="1">
        <f t="shared" si="107"/>
        <v>168.57142857142858</v>
      </c>
      <c r="DK20" s="1">
        <f t="shared" si="107"/>
        <v>170</v>
      </c>
      <c r="DL20" s="1">
        <f t="shared" si="107"/>
        <v>171.42857142857142</v>
      </c>
      <c r="DM20" s="1">
        <f t="shared" si="103"/>
        <v>172.85714285714286</v>
      </c>
      <c r="DN20" s="1">
        <f t="shared" si="103"/>
        <v>174.28571428571428</v>
      </c>
      <c r="DO20" s="1">
        <f t="shared" si="103"/>
        <v>175.71428571428572</v>
      </c>
      <c r="DP20" s="1">
        <f t="shared" si="104"/>
        <v>177.14285714285714</v>
      </c>
      <c r="DQ20" s="1">
        <f t="shared" si="104"/>
        <v>178.57142857142858</v>
      </c>
      <c r="DR20" s="1">
        <f t="shared" si="104"/>
        <v>180</v>
      </c>
      <c r="DS20" s="1">
        <f t="shared" si="104"/>
        <v>181.42857142857142</v>
      </c>
    </row>
    <row r="21" spans="1:123" x14ac:dyDescent="0.3">
      <c r="A21" s="81"/>
      <c r="B21" s="13" t="str">
        <f t="shared" si="99"/>
        <v>0x08</v>
      </c>
      <c r="C21" s="12">
        <f t="shared" si="101"/>
        <v>8</v>
      </c>
      <c r="D21" s="1">
        <f t="shared" si="100"/>
        <v>10</v>
      </c>
      <c r="E21" s="1">
        <f t="shared" si="102"/>
        <v>11.25</v>
      </c>
      <c r="F21" s="1">
        <f t="shared" si="102"/>
        <v>12.5</v>
      </c>
      <c r="G21" s="1">
        <f t="shared" si="102"/>
        <v>13.75</v>
      </c>
      <c r="H21" s="1">
        <f t="shared" si="102"/>
        <v>15</v>
      </c>
      <c r="I21" s="1">
        <f t="shared" si="102"/>
        <v>16.25</v>
      </c>
      <c r="J21" s="1">
        <f t="shared" si="102"/>
        <v>17.5</v>
      </c>
      <c r="K21" s="1">
        <f t="shared" si="102"/>
        <v>18.75</v>
      </c>
      <c r="L21" s="1">
        <f t="shared" si="102"/>
        <v>20</v>
      </c>
      <c r="M21" s="1">
        <f t="shared" si="102"/>
        <v>21.25</v>
      </c>
      <c r="N21" s="1">
        <f t="shared" si="102"/>
        <v>22.5</v>
      </c>
      <c r="O21" s="1">
        <f t="shared" si="102"/>
        <v>23.75</v>
      </c>
      <c r="P21" s="1">
        <f t="shared" si="102"/>
        <v>25</v>
      </c>
      <c r="Q21" s="1">
        <f t="shared" si="102"/>
        <v>26.25</v>
      </c>
      <c r="R21" s="1">
        <f t="shared" si="102"/>
        <v>27.5</v>
      </c>
      <c r="S21" s="1">
        <f t="shared" si="102"/>
        <v>28.75</v>
      </c>
      <c r="T21" s="1">
        <f t="shared" si="102"/>
        <v>30</v>
      </c>
      <c r="U21" s="1">
        <f t="shared" si="102"/>
        <v>31.25</v>
      </c>
      <c r="V21" s="1">
        <f t="shared" si="102"/>
        <v>32.5</v>
      </c>
      <c r="W21" s="1">
        <f t="shared" si="102"/>
        <v>33.75</v>
      </c>
      <c r="X21" s="1">
        <f t="shared" si="102"/>
        <v>35</v>
      </c>
      <c r="Y21" s="1">
        <f t="shared" si="102"/>
        <v>36.25</v>
      </c>
      <c r="Z21" s="1">
        <f t="shared" si="102"/>
        <v>37.5</v>
      </c>
      <c r="AA21" s="1">
        <f t="shared" si="102"/>
        <v>38.75</v>
      </c>
      <c r="AB21" s="1">
        <f t="shared" si="102"/>
        <v>40</v>
      </c>
      <c r="AC21" s="1">
        <f t="shared" si="102"/>
        <v>41.25</v>
      </c>
      <c r="AD21" s="1">
        <f t="shared" si="102"/>
        <v>42.5</v>
      </c>
      <c r="AE21" s="1">
        <f t="shared" si="102"/>
        <v>43.75</v>
      </c>
      <c r="AF21" s="1">
        <f t="shared" si="102"/>
        <v>45</v>
      </c>
      <c r="AG21" s="1">
        <f t="shared" si="102"/>
        <v>46.25</v>
      </c>
      <c r="AH21" s="1">
        <f t="shared" si="102"/>
        <v>47.5</v>
      </c>
      <c r="AI21" s="1">
        <f t="shared" si="102"/>
        <v>48.75</v>
      </c>
      <c r="AJ21" s="1">
        <f t="shared" si="102"/>
        <v>50</v>
      </c>
      <c r="AK21" s="1">
        <f t="shared" si="102"/>
        <v>51.25</v>
      </c>
      <c r="AL21" s="1">
        <f t="shared" si="102"/>
        <v>52.5</v>
      </c>
      <c r="AM21" s="1">
        <f t="shared" si="102"/>
        <v>53.75</v>
      </c>
      <c r="AN21" s="1">
        <f t="shared" si="102"/>
        <v>55</v>
      </c>
      <c r="AO21" s="1">
        <f t="shared" si="102"/>
        <v>56.25</v>
      </c>
      <c r="AP21" s="1">
        <f t="shared" si="102"/>
        <v>57.5</v>
      </c>
      <c r="AQ21" s="1">
        <f t="shared" si="102"/>
        <v>58.75</v>
      </c>
      <c r="AR21" s="1">
        <f t="shared" si="102"/>
        <v>60</v>
      </c>
      <c r="AS21" s="1">
        <f t="shared" si="102"/>
        <v>61.25</v>
      </c>
      <c r="AT21" s="1">
        <f t="shared" si="102"/>
        <v>62.5</v>
      </c>
      <c r="AU21" s="1">
        <f t="shared" si="102"/>
        <v>63.75</v>
      </c>
      <c r="AV21" s="1">
        <f t="shared" si="102"/>
        <v>65</v>
      </c>
      <c r="AW21" s="1">
        <f t="shared" si="102"/>
        <v>66.25</v>
      </c>
      <c r="AX21" s="1">
        <f t="shared" si="102"/>
        <v>67.5</v>
      </c>
      <c r="AY21" s="1">
        <f t="shared" si="102"/>
        <v>68.75</v>
      </c>
      <c r="AZ21" s="1">
        <f t="shared" si="102"/>
        <v>70</v>
      </c>
      <c r="BA21" s="1">
        <f t="shared" si="102"/>
        <v>71.25</v>
      </c>
      <c r="BB21" s="1">
        <f t="shared" si="102"/>
        <v>72.5</v>
      </c>
      <c r="BC21" s="1">
        <f t="shared" si="102"/>
        <v>73.75</v>
      </c>
      <c r="BD21" s="1">
        <f t="shared" si="102"/>
        <v>75</v>
      </c>
      <c r="BE21" s="1">
        <f t="shared" si="102"/>
        <v>76.25</v>
      </c>
      <c r="BF21" s="1">
        <f t="shared" si="102"/>
        <v>77.5</v>
      </c>
      <c r="BG21" s="1">
        <f t="shared" si="102"/>
        <v>78.75</v>
      </c>
      <c r="BH21" s="1">
        <f t="shared" si="102"/>
        <v>80</v>
      </c>
      <c r="BI21" s="1">
        <f t="shared" si="102"/>
        <v>81.25</v>
      </c>
      <c r="BJ21" s="1">
        <f t="shared" si="102"/>
        <v>82.5</v>
      </c>
      <c r="BK21" s="1">
        <f t="shared" si="102"/>
        <v>83.75</v>
      </c>
      <c r="BL21" s="1">
        <f t="shared" si="102"/>
        <v>85</v>
      </c>
      <c r="BM21" s="1">
        <f t="shared" si="102"/>
        <v>86.25</v>
      </c>
      <c r="BN21" s="1">
        <f t="shared" si="102"/>
        <v>87.5</v>
      </c>
      <c r="BO21" s="1">
        <f t="shared" ref="BO21:CD50" si="108">IF($U$3=0,0,($U$2*BO$13)/($C21*$U$3))</f>
        <v>88.75</v>
      </c>
      <c r="BP21" s="1">
        <f t="shared" si="108"/>
        <v>90</v>
      </c>
      <c r="BQ21" s="1">
        <f t="shared" si="105"/>
        <v>91.25</v>
      </c>
      <c r="BR21" s="1">
        <f t="shared" si="105"/>
        <v>92.5</v>
      </c>
      <c r="BS21" s="1">
        <f t="shared" si="105"/>
        <v>93.75</v>
      </c>
      <c r="BT21" s="1">
        <f t="shared" si="105"/>
        <v>95</v>
      </c>
      <c r="BU21" s="1">
        <f t="shared" si="105"/>
        <v>96.25</v>
      </c>
      <c r="BV21" s="1">
        <f t="shared" si="105"/>
        <v>97.5</v>
      </c>
      <c r="BW21" s="1">
        <f t="shared" si="105"/>
        <v>98.75</v>
      </c>
      <c r="BX21" s="1">
        <f t="shared" si="105"/>
        <v>100</v>
      </c>
      <c r="BY21" s="1">
        <f t="shared" si="105"/>
        <v>101.25</v>
      </c>
      <c r="BZ21" s="1">
        <f t="shared" si="105"/>
        <v>102.5</v>
      </c>
      <c r="CA21" s="1">
        <f t="shared" si="105"/>
        <v>103.75</v>
      </c>
      <c r="CB21" s="1">
        <f t="shared" si="105"/>
        <v>105</v>
      </c>
      <c r="CC21" s="1">
        <f t="shared" si="105"/>
        <v>106.25</v>
      </c>
      <c r="CD21" s="1">
        <f t="shared" si="105"/>
        <v>107.5</v>
      </c>
      <c r="CE21" s="1">
        <f t="shared" si="105"/>
        <v>108.75</v>
      </c>
      <c r="CF21" s="1">
        <f t="shared" si="105"/>
        <v>110</v>
      </c>
      <c r="CG21" s="1">
        <f t="shared" si="106"/>
        <v>111.25</v>
      </c>
      <c r="CH21" s="1">
        <f t="shared" si="106"/>
        <v>112.5</v>
      </c>
      <c r="CI21" s="1">
        <f t="shared" si="106"/>
        <v>113.75</v>
      </c>
      <c r="CJ21" s="1">
        <f t="shared" si="106"/>
        <v>115</v>
      </c>
      <c r="CK21" s="1">
        <f t="shared" si="106"/>
        <v>116.25</v>
      </c>
      <c r="CL21" s="1">
        <f t="shared" si="106"/>
        <v>117.5</v>
      </c>
      <c r="CM21" s="1">
        <f t="shared" si="106"/>
        <v>118.75</v>
      </c>
      <c r="CN21" s="1">
        <f t="shared" si="106"/>
        <v>120</v>
      </c>
      <c r="CO21" s="1">
        <f t="shared" si="106"/>
        <v>121.25</v>
      </c>
      <c r="CP21" s="1">
        <f t="shared" si="106"/>
        <v>122.5</v>
      </c>
      <c r="CQ21" s="1">
        <f t="shared" si="106"/>
        <v>123.75</v>
      </c>
      <c r="CR21" s="1">
        <f t="shared" si="106"/>
        <v>125</v>
      </c>
      <c r="CS21" s="1">
        <f t="shared" si="106"/>
        <v>126.25</v>
      </c>
      <c r="CT21" s="1">
        <f t="shared" si="106"/>
        <v>127.5</v>
      </c>
      <c r="CU21" s="1">
        <f t="shared" si="106"/>
        <v>128.75</v>
      </c>
      <c r="CV21" s="1">
        <f t="shared" si="106"/>
        <v>130</v>
      </c>
      <c r="CW21" s="1">
        <f t="shared" si="107"/>
        <v>131.25</v>
      </c>
      <c r="CX21" s="1">
        <f t="shared" si="107"/>
        <v>132.5</v>
      </c>
      <c r="CY21" s="1">
        <f t="shared" si="107"/>
        <v>133.75</v>
      </c>
      <c r="CZ21" s="1">
        <f t="shared" si="107"/>
        <v>135</v>
      </c>
      <c r="DA21" s="1">
        <f t="shared" si="107"/>
        <v>136.25</v>
      </c>
      <c r="DB21" s="1">
        <f t="shared" si="107"/>
        <v>137.5</v>
      </c>
      <c r="DC21" s="1">
        <f t="shared" si="107"/>
        <v>138.75</v>
      </c>
      <c r="DD21" s="1">
        <f t="shared" si="107"/>
        <v>140</v>
      </c>
      <c r="DE21" s="1">
        <f t="shared" si="107"/>
        <v>141.25</v>
      </c>
      <c r="DF21" s="1">
        <f t="shared" si="107"/>
        <v>142.5</v>
      </c>
      <c r="DG21" s="1">
        <f t="shared" si="107"/>
        <v>143.75</v>
      </c>
      <c r="DH21" s="1">
        <f t="shared" si="107"/>
        <v>145</v>
      </c>
      <c r="DI21" s="1">
        <f t="shared" si="107"/>
        <v>146.25</v>
      </c>
      <c r="DJ21" s="1">
        <f t="shared" si="107"/>
        <v>147.5</v>
      </c>
      <c r="DK21" s="1">
        <f t="shared" si="107"/>
        <v>148.75</v>
      </c>
      <c r="DL21" s="1">
        <f t="shared" si="107"/>
        <v>150</v>
      </c>
      <c r="DM21" s="1">
        <f t="shared" si="103"/>
        <v>151.25</v>
      </c>
      <c r="DN21" s="1">
        <f t="shared" si="103"/>
        <v>152.5</v>
      </c>
      <c r="DO21" s="1">
        <f t="shared" si="103"/>
        <v>153.75</v>
      </c>
      <c r="DP21" s="1">
        <f t="shared" si="104"/>
        <v>155</v>
      </c>
      <c r="DQ21" s="1">
        <f t="shared" si="104"/>
        <v>156.25</v>
      </c>
      <c r="DR21" s="1">
        <f t="shared" si="104"/>
        <v>157.5</v>
      </c>
      <c r="DS21" s="1">
        <f t="shared" si="104"/>
        <v>158.75</v>
      </c>
    </row>
    <row r="22" spans="1:123" x14ac:dyDescent="0.3">
      <c r="A22" s="81"/>
      <c r="B22" s="13" t="str">
        <f t="shared" si="99"/>
        <v>0x09</v>
      </c>
      <c r="C22" s="12">
        <f t="shared" si="101"/>
        <v>9</v>
      </c>
      <c r="D22" s="1">
        <f t="shared" si="100"/>
        <v>8.8888888888888893</v>
      </c>
      <c r="E22" s="1">
        <f t="shared" si="100"/>
        <v>10</v>
      </c>
      <c r="F22" s="1">
        <f t="shared" si="100"/>
        <v>11.111111111111111</v>
      </c>
      <c r="G22" s="1">
        <f t="shared" si="100"/>
        <v>12.222222222222221</v>
      </c>
      <c r="H22" s="1">
        <f t="shared" si="100"/>
        <v>13.333333333333334</v>
      </c>
      <c r="I22" s="1">
        <f t="shared" si="100"/>
        <v>14.444444444444445</v>
      </c>
      <c r="J22" s="1">
        <f t="shared" si="100"/>
        <v>15.555555555555555</v>
      </c>
      <c r="K22" s="1">
        <f t="shared" si="100"/>
        <v>16.666666666666668</v>
      </c>
      <c r="L22" s="1">
        <f t="shared" si="100"/>
        <v>17.777777777777779</v>
      </c>
      <c r="M22" s="1">
        <f t="shared" si="100"/>
        <v>18.888888888888889</v>
      </c>
      <c r="N22" s="1">
        <f t="shared" si="100"/>
        <v>20</v>
      </c>
      <c r="O22" s="1">
        <f t="shared" si="100"/>
        <v>21.111111111111111</v>
      </c>
      <c r="P22" s="1">
        <f t="shared" si="100"/>
        <v>22.222222222222221</v>
      </c>
      <c r="Q22" s="1">
        <f t="shared" si="100"/>
        <v>23.333333333333332</v>
      </c>
      <c r="R22" s="1">
        <f t="shared" si="100"/>
        <v>24.444444444444443</v>
      </c>
      <c r="S22" s="1">
        <f t="shared" si="100"/>
        <v>25.555555555555557</v>
      </c>
      <c r="T22" s="1">
        <f t="shared" ref="T22:AI38" si="109">IF($U$3=0,0,($U$2*T$13)/($C22*$U$3))</f>
        <v>26.666666666666668</v>
      </c>
      <c r="U22" s="1">
        <f t="shared" si="109"/>
        <v>27.777777777777779</v>
      </c>
      <c r="V22" s="1">
        <f t="shared" si="109"/>
        <v>28.888888888888889</v>
      </c>
      <c r="W22" s="1">
        <f t="shared" si="109"/>
        <v>30</v>
      </c>
      <c r="X22" s="1">
        <f t="shared" si="109"/>
        <v>31.111111111111111</v>
      </c>
      <c r="Y22" s="1">
        <f t="shared" si="109"/>
        <v>32.222222222222221</v>
      </c>
      <c r="Z22" s="1">
        <f t="shared" si="109"/>
        <v>33.333333333333336</v>
      </c>
      <c r="AA22" s="1">
        <f t="shared" si="109"/>
        <v>34.444444444444443</v>
      </c>
      <c r="AB22" s="1">
        <f t="shared" si="109"/>
        <v>35.555555555555557</v>
      </c>
      <c r="AC22" s="1">
        <f t="shared" si="109"/>
        <v>36.666666666666664</v>
      </c>
      <c r="AD22" s="1">
        <f t="shared" si="109"/>
        <v>37.777777777777779</v>
      </c>
      <c r="AE22" s="1">
        <f t="shared" si="109"/>
        <v>38.888888888888886</v>
      </c>
      <c r="AF22" s="1">
        <f t="shared" si="109"/>
        <v>40</v>
      </c>
      <c r="AG22" s="1">
        <f t="shared" si="109"/>
        <v>41.111111111111114</v>
      </c>
      <c r="AH22" s="1">
        <f t="shared" si="109"/>
        <v>42.222222222222221</v>
      </c>
      <c r="AI22" s="1">
        <f t="shared" si="109"/>
        <v>43.333333333333336</v>
      </c>
      <c r="AJ22" s="1">
        <f t="shared" ref="AJ22:AY37" si="110">IF($U$3=0,0,($U$2*AJ$13)/($C22*$U$3))</f>
        <v>44.444444444444443</v>
      </c>
      <c r="AK22" s="1">
        <f t="shared" si="110"/>
        <v>45.555555555555557</v>
      </c>
      <c r="AL22" s="1">
        <f t="shared" si="110"/>
        <v>46.666666666666664</v>
      </c>
      <c r="AM22" s="1">
        <f t="shared" si="110"/>
        <v>47.777777777777779</v>
      </c>
      <c r="AN22" s="1">
        <f t="shared" si="110"/>
        <v>48.888888888888886</v>
      </c>
      <c r="AO22" s="1">
        <f t="shared" si="110"/>
        <v>50</v>
      </c>
      <c r="AP22" s="1">
        <f t="shared" si="110"/>
        <v>51.111111111111114</v>
      </c>
      <c r="AQ22" s="1">
        <f t="shared" si="110"/>
        <v>52.222222222222221</v>
      </c>
      <c r="AR22" s="1">
        <f t="shared" si="110"/>
        <v>53.333333333333336</v>
      </c>
      <c r="AS22" s="1">
        <f t="shared" si="110"/>
        <v>54.444444444444443</v>
      </c>
      <c r="AT22" s="1">
        <f t="shared" si="110"/>
        <v>55.555555555555557</v>
      </c>
      <c r="AU22" s="1">
        <f t="shared" si="110"/>
        <v>56.666666666666664</v>
      </c>
      <c r="AV22" s="1">
        <f t="shared" si="110"/>
        <v>57.777777777777779</v>
      </c>
      <c r="AW22" s="1">
        <f t="shared" si="110"/>
        <v>58.888888888888886</v>
      </c>
      <c r="AX22" s="1">
        <f t="shared" si="110"/>
        <v>60</v>
      </c>
      <c r="AY22" s="1">
        <f t="shared" si="110"/>
        <v>61.111111111111114</v>
      </c>
      <c r="AZ22" s="1">
        <f t="shared" ref="AZ22:BO51" si="111">IF($U$3=0,0,($U$2*AZ$13)/($C22*$U$3))</f>
        <v>62.222222222222221</v>
      </c>
      <c r="BA22" s="1">
        <f t="shared" si="111"/>
        <v>63.333333333333336</v>
      </c>
      <c r="BB22" s="1">
        <f t="shared" si="111"/>
        <v>64.444444444444443</v>
      </c>
      <c r="BC22" s="1">
        <f t="shared" si="111"/>
        <v>65.555555555555557</v>
      </c>
      <c r="BD22" s="1">
        <f t="shared" si="111"/>
        <v>66.666666666666671</v>
      </c>
      <c r="BE22" s="1">
        <f t="shared" si="111"/>
        <v>67.777777777777771</v>
      </c>
      <c r="BF22" s="1">
        <f t="shared" si="111"/>
        <v>68.888888888888886</v>
      </c>
      <c r="BG22" s="1">
        <f t="shared" si="111"/>
        <v>70</v>
      </c>
      <c r="BH22" s="1">
        <f t="shared" si="111"/>
        <v>71.111111111111114</v>
      </c>
      <c r="BI22" s="1">
        <f t="shared" si="111"/>
        <v>72.222222222222229</v>
      </c>
      <c r="BJ22" s="1">
        <f t="shared" si="111"/>
        <v>73.333333333333329</v>
      </c>
      <c r="BK22" s="1">
        <f t="shared" si="111"/>
        <v>74.444444444444443</v>
      </c>
      <c r="BL22" s="1">
        <f t="shared" si="111"/>
        <v>75.555555555555557</v>
      </c>
      <c r="BM22" s="1">
        <f t="shared" si="111"/>
        <v>76.666666666666671</v>
      </c>
      <c r="BN22" s="1">
        <f t="shared" si="111"/>
        <v>77.777777777777771</v>
      </c>
      <c r="BO22" s="1">
        <f t="shared" si="111"/>
        <v>78.888888888888886</v>
      </c>
      <c r="BP22" s="1">
        <f t="shared" si="108"/>
        <v>80</v>
      </c>
      <c r="BQ22" s="1">
        <f t="shared" si="105"/>
        <v>81.111111111111114</v>
      </c>
      <c r="BR22" s="1">
        <f t="shared" si="105"/>
        <v>82.222222222222229</v>
      </c>
      <c r="BS22" s="1">
        <f t="shared" si="105"/>
        <v>83.333333333333329</v>
      </c>
      <c r="BT22" s="1">
        <f t="shared" si="105"/>
        <v>84.444444444444443</v>
      </c>
      <c r="BU22" s="1">
        <f t="shared" si="105"/>
        <v>85.555555555555557</v>
      </c>
      <c r="BV22" s="1">
        <f t="shared" si="105"/>
        <v>86.666666666666671</v>
      </c>
      <c r="BW22" s="1">
        <f t="shared" si="105"/>
        <v>87.777777777777771</v>
      </c>
      <c r="BX22" s="1">
        <f t="shared" si="105"/>
        <v>88.888888888888886</v>
      </c>
      <c r="BY22" s="1">
        <f t="shared" si="105"/>
        <v>90</v>
      </c>
      <c r="BZ22" s="1">
        <f t="shared" si="105"/>
        <v>91.111111111111114</v>
      </c>
      <c r="CA22" s="1">
        <f t="shared" si="105"/>
        <v>92.222222222222229</v>
      </c>
      <c r="CB22" s="1">
        <f t="shared" si="105"/>
        <v>93.333333333333329</v>
      </c>
      <c r="CC22" s="1">
        <f t="shared" si="105"/>
        <v>94.444444444444443</v>
      </c>
      <c r="CD22" s="1">
        <f t="shared" si="105"/>
        <v>95.555555555555557</v>
      </c>
      <c r="CE22" s="1">
        <f t="shared" si="105"/>
        <v>96.666666666666671</v>
      </c>
      <c r="CF22" s="1">
        <f t="shared" si="105"/>
        <v>97.777777777777771</v>
      </c>
      <c r="CG22" s="1">
        <f t="shared" si="106"/>
        <v>98.888888888888886</v>
      </c>
      <c r="CH22" s="1">
        <f t="shared" si="106"/>
        <v>100</v>
      </c>
      <c r="CI22" s="1">
        <f t="shared" si="106"/>
        <v>101.11111111111111</v>
      </c>
      <c r="CJ22" s="1">
        <f t="shared" si="106"/>
        <v>102.22222222222223</v>
      </c>
      <c r="CK22" s="1">
        <f t="shared" si="106"/>
        <v>103.33333333333333</v>
      </c>
      <c r="CL22" s="1">
        <f t="shared" si="106"/>
        <v>104.44444444444444</v>
      </c>
      <c r="CM22" s="1">
        <f t="shared" si="106"/>
        <v>105.55555555555556</v>
      </c>
      <c r="CN22" s="1">
        <f t="shared" si="106"/>
        <v>106.66666666666667</v>
      </c>
      <c r="CO22" s="1">
        <f t="shared" si="106"/>
        <v>107.77777777777777</v>
      </c>
      <c r="CP22" s="1">
        <f t="shared" si="106"/>
        <v>108.88888888888889</v>
      </c>
      <c r="CQ22" s="1">
        <f t="shared" si="106"/>
        <v>110</v>
      </c>
      <c r="CR22" s="1">
        <f t="shared" si="106"/>
        <v>111.11111111111111</v>
      </c>
      <c r="CS22" s="1">
        <f t="shared" si="106"/>
        <v>112.22222222222223</v>
      </c>
      <c r="CT22" s="1">
        <f t="shared" si="106"/>
        <v>113.33333333333333</v>
      </c>
      <c r="CU22" s="1">
        <f t="shared" si="106"/>
        <v>114.44444444444444</v>
      </c>
      <c r="CV22" s="1">
        <f t="shared" si="106"/>
        <v>115.55555555555556</v>
      </c>
      <c r="CW22" s="1">
        <f t="shared" si="107"/>
        <v>116.66666666666667</v>
      </c>
      <c r="CX22" s="1">
        <f t="shared" si="107"/>
        <v>117.77777777777777</v>
      </c>
      <c r="CY22" s="1">
        <f t="shared" si="107"/>
        <v>118.88888888888889</v>
      </c>
      <c r="CZ22" s="1">
        <f t="shared" si="107"/>
        <v>120</v>
      </c>
      <c r="DA22" s="1">
        <f t="shared" si="107"/>
        <v>121.11111111111111</v>
      </c>
      <c r="DB22" s="1">
        <f t="shared" si="107"/>
        <v>122.22222222222223</v>
      </c>
      <c r="DC22" s="1">
        <f t="shared" si="107"/>
        <v>123.33333333333333</v>
      </c>
      <c r="DD22" s="1">
        <f t="shared" si="107"/>
        <v>124.44444444444444</v>
      </c>
      <c r="DE22" s="1">
        <f t="shared" si="107"/>
        <v>125.55555555555556</v>
      </c>
      <c r="DF22" s="1">
        <f t="shared" si="107"/>
        <v>126.66666666666667</v>
      </c>
      <c r="DG22" s="1">
        <f t="shared" si="107"/>
        <v>127.77777777777777</v>
      </c>
      <c r="DH22" s="1">
        <f t="shared" si="107"/>
        <v>128.88888888888889</v>
      </c>
      <c r="DI22" s="1">
        <f t="shared" si="107"/>
        <v>130</v>
      </c>
      <c r="DJ22" s="1">
        <f t="shared" si="107"/>
        <v>131.11111111111111</v>
      </c>
      <c r="DK22" s="1">
        <f t="shared" si="107"/>
        <v>132.22222222222223</v>
      </c>
      <c r="DL22" s="1">
        <f t="shared" si="107"/>
        <v>133.33333333333334</v>
      </c>
      <c r="DM22" s="1">
        <f t="shared" si="103"/>
        <v>134.44444444444446</v>
      </c>
      <c r="DN22" s="1">
        <f t="shared" si="103"/>
        <v>135.55555555555554</v>
      </c>
      <c r="DO22" s="1">
        <f t="shared" si="103"/>
        <v>136.66666666666666</v>
      </c>
      <c r="DP22" s="1">
        <f t="shared" si="104"/>
        <v>137.77777777777777</v>
      </c>
      <c r="DQ22" s="1">
        <f t="shared" si="104"/>
        <v>138.88888888888889</v>
      </c>
      <c r="DR22" s="1">
        <f t="shared" si="104"/>
        <v>140</v>
      </c>
      <c r="DS22" s="1">
        <f t="shared" si="104"/>
        <v>141.11111111111111</v>
      </c>
    </row>
    <row r="23" spans="1:123" x14ac:dyDescent="0.3">
      <c r="A23" s="81"/>
      <c r="B23" s="13" t="str">
        <f t="shared" si="99"/>
        <v>0x0A</v>
      </c>
      <c r="C23" s="12">
        <f t="shared" si="101"/>
        <v>10</v>
      </c>
      <c r="D23" s="1">
        <f t="shared" si="100"/>
        <v>8</v>
      </c>
      <c r="E23" s="1">
        <f t="shared" si="100"/>
        <v>9</v>
      </c>
      <c r="F23" s="1">
        <f t="shared" si="100"/>
        <v>10</v>
      </c>
      <c r="G23" s="1">
        <f t="shared" si="100"/>
        <v>11</v>
      </c>
      <c r="H23" s="1">
        <f t="shared" si="100"/>
        <v>12</v>
      </c>
      <c r="I23" s="1">
        <f t="shared" si="100"/>
        <v>13</v>
      </c>
      <c r="J23" s="1">
        <f t="shared" si="100"/>
        <v>14</v>
      </c>
      <c r="K23" s="1">
        <f t="shared" si="100"/>
        <v>15</v>
      </c>
      <c r="L23" s="1">
        <f t="shared" si="100"/>
        <v>16</v>
      </c>
      <c r="M23" s="1">
        <f t="shared" si="100"/>
        <v>17</v>
      </c>
      <c r="N23" s="1">
        <f t="shared" si="100"/>
        <v>18</v>
      </c>
      <c r="O23" s="1">
        <f t="shared" si="100"/>
        <v>19</v>
      </c>
      <c r="P23" s="1">
        <f t="shared" si="100"/>
        <v>20</v>
      </c>
      <c r="Q23" s="1">
        <f t="shared" si="100"/>
        <v>21</v>
      </c>
      <c r="R23" s="1">
        <f t="shared" si="100"/>
        <v>22</v>
      </c>
      <c r="S23" s="1">
        <f t="shared" si="100"/>
        <v>23</v>
      </c>
      <c r="T23" s="1">
        <f t="shared" si="109"/>
        <v>24</v>
      </c>
      <c r="U23" s="1">
        <f t="shared" si="109"/>
        <v>25</v>
      </c>
      <c r="V23" s="1">
        <f t="shared" si="109"/>
        <v>26</v>
      </c>
      <c r="W23" s="1">
        <f t="shared" si="109"/>
        <v>27</v>
      </c>
      <c r="X23" s="1">
        <f t="shared" si="109"/>
        <v>28</v>
      </c>
      <c r="Y23" s="1">
        <f t="shared" si="109"/>
        <v>29</v>
      </c>
      <c r="Z23" s="1">
        <f t="shared" si="109"/>
        <v>30</v>
      </c>
      <c r="AA23" s="1">
        <f t="shared" si="109"/>
        <v>31</v>
      </c>
      <c r="AB23" s="1">
        <f t="shared" si="109"/>
        <v>32</v>
      </c>
      <c r="AC23" s="1">
        <f t="shared" si="109"/>
        <v>33</v>
      </c>
      <c r="AD23" s="1">
        <f t="shared" si="109"/>
        <v>34</v>
      </c>
      <c r="AE23" s="1">
        <f t="shared" si="109"/>
        <v>35</v>
      </c>
      <c r="AF23" s="1">
        <f t="shared" si="109"/>
        <v>36</v>
      </c>
      <c r="AG23" s="1">
        <f t="shared" si="109"/>
        <v>37</v>
      </c>
      <c r="AH23" s="1">
        <f t="shared" si="109"/>
        <v>38</v>
      </c>
      <c r="AI23" s="1">
        <f t="shared" si="109"/>
        <v>39</v>
      </c>
      <c r="AJ23" s="1">
        <f t="shared" si="110"/>
        <v>40</v>
      </c>
      <c r="AK23" s="1">
        <f t="shared" si="110"/>
        <v>41</v>
      </c>
      <c r="AL23" s="1">
        <f t="shared" si="110"/>
        <v>42</v>
      </c>
      <c r="AM23" s="1">
        <f t="shared" si="110"/>
        <v>43</v>
      </c>
      <c r="AN23" s="1">
        <f t="shared" si="110"/>
        <v>44</v>
      </c>
      <c r="AO23" s="1">
        <f t="shared" si="110"/>
        <v>45</v>
      </c>
      <c r="AP23" s="1">
        <f t="shared" si="110"/>
        <v>46</v>
      </c>
      <c r="AQ23" s="1">
        <f t="shared" si="110"/>
        <v>47</v>
      </c>
      <c r="AR23" s="1">
        <f t="shared" si="110"/>
        <v>48</v>
      </c>
      <c r="AS23" s="1">
        <f t="shared" si="110"/>
        <v>49</v>
      </c>
      <c r="AT23" s="1">
        <f t="shared" si="110"/>
        <v>50</v>
      </c>
      <c r="AU23" s="1">
        <f t="shared" si="110"/>
        <v>51</v>
      </c>
      <c r="AV23" s="1">
        <f t="shared" si="110"/>
        <v>52</v>
      </c>
      <c r="AW23" s="1">
        <f t="shared" si="110"/>
        <v>53</v>
      </c>
      <c r="AX23" s="1">
        <f t="shared" si="110"/>
        <v>54</v>
      </c>
      <c r="AY23" s="1">
        <f t="shared" si="110"/>
        <v>55</v>
      </c>
      <c r="AZ23" s="1">
        <f t="shared" si="111"/>
        <v>56</v>
      </c>
      <c r="BA23" s="1">
        <f t="shared" si="111"/>
        <v>57</v>
      </c>
      <c r="BB23" s="1">
        <f t="shared" si="111"/>
        <v>58</v>
      </c>
      <c r="BC23" s="1">
        <f t="shared" si="111"/>
        <v>59</v>
      </c>
      <c r="BD23" s="1">
        <f t="shared" si="111"/>
        <v>60</v>
      </c>
      <c r="BE23" s="1">
        <f t="shared" si="111"/>
        <v>61</v>
      </c>
      <c r="BF23" s="1">
        <f t="shared" si="111"/>
        <v>62</v>
      </c>
      <c r="BG23" s="1">
        <f t="shared" si="111"/>
        <v>63</v>
      </c>
      <c r="BH23" s="1">
        <f t="shared" si="111"/>
        <v>64</v>
      </c>
      <c r="BI23" s="1">
        <f t="shared" si="111"/>
        <v>65</v>
      </c>
      <c r="BJ23" s="1">
        <f t="shared" si="111"/>
        <v>66</v>
      </c>
      <c r="BK23" s="1">
        <f t="shared" si="111"/>
        <v>67</v>
      </c>
      <c r="BL23" s="1">
        <f t="shared" si="111"/>
        <v>68</v>
      </c>
      <c r="BM23" s="1">
        <f t="shared" si="111"/>
        <v>69</v>
      </c>
      <c r="BN23" s="1">
        <f t="shared" si="111"/>
        <v>70</v>
      </c>
      <c r="BO23" s="1">
        <f t="shared" si="111"/>
        <v>71</v>
      </c>
      <c r="BP23" s="1">
        <f t="shared" si="108"/>
        <v>72</v>
      </c>
      <c r="BQ23" s="1">
        <f t="shared" si="105"/>
        <v>73</v>
      </c>
      <c r="BR23" s="1">
        <f t="shared" si="105"/>
        <v>74</v>
      </c>
      <c r="BS23" s="1">
        <f t="shared" si="105"/>
        <v>75</v>
      </c>
      <c r="BT23" s="1">
        <f t="shared" si="105"/>
        <v>76</v>
      </c>
      <c r="BU23" s="1">
        <f t="shared" si="105"/>
        <v>77</v>
      </c>
      <c r="BV23" s="1">
        <f t="shared" si="105"/>
        <v>78</v>
      </c>
      <c r="BW23" s="1">
        <f t="shared" si="105"/>
        <v>79</v>
      </c>
      <c r="BX23" s="1">
        <f t="shared" si="105"/>
        <v>80</v>
      </c>
      <c r="BY23" s="1">
        <f t="shared" si="105"/>
        <v>81</v>
      </c>
      <c r="BZ23" s="1">
        <f t="shared" si="105"/>
        <v>82</v>
      </c>
      <c r="CA23" s="1">
        <f t="shared" si="105"/>
        <v>83</v>
      </c>
      <c r="CB23" s="1">
        <f t="shared" si="105"/>
        <v>84</v>
      </c>
      <c r="CC23" s="1">
        <f t="shared" si="105"/>
        <v>85</v>
      </c>
      <c r="CD23" s="1">
        <f t="shared" si="105"/>
        <v>86</v>
      </c>
      <c r="CE23" s="1">
        <f t="shared" si="105"/>
        <v>87</v>
      </c>
      <c r="CF23" s="1">
        <f t="shared" si="105"/>
        <v>88</v>
      </c>
      <c r="CG23" s="1">
        <f t="shared" si="106"/>
        <v>89</v>
      </c>
      <c r="CH23" s="1">
        <f t="shared" si="106"/>
        <v>90</v>
      </c>
      <c r="CI23" s="1">
        <f t="shared" si="106"/>
        <v>91</v>
      </c>
      <c r="CJ23" s="1">
        <f t="shared" si="106"/>
        <v>92</v>
      </c>
      <c r="CK23" s="1">
        <f t="shared" si="106"/>
        <v>93</v>
      </c>
      <c r="CL23" s="1">
        <f t="shared" si="106"/>
        <v>94</v>
      </c>
      <c r="CM23" s="1">
        <f t="shared" si="106"/>
        <v>95</v>
      </c>
      <c r="CN23" s="1">
        <f t="shared" si="106"/>
        <v>96</v>
      </c>
      <c r="CO23" s="1">
        <f t="shared" si="106"/>
        <v>97</v>
      </c>
      <c r="CP23" s="1">
        <f t="shared" si="106"/>
        <v>98</v>
      </c>
      <c r="CQ23" s="1">
        <f t="shared" si="106"/>
        <v>99</v>
      </c>
      <c r="CR23" s="1">
        <f t="shared" si="106"/>
        <v>100</v>
      </c>
      <c r="CS23" s="1">
        <f t="shared" si="106"/>
        <v>101</v>
      </c>
      <c r="CT23" s="1">
        <f t="shared" si="106"/>
        <v>102</v>
      </c>
      <c r="CU23" s="1">
        <f t="shared" si="106"/>
        <v>103</v>
      </c>
      <c r="CV23" s="1">
        <f t="shared" si="106"/>
        <v>104</v>
      </c>
      <c r="CW23" s="1">
        <f t="shared" si="107"/>
        <v>105</v>
      </c>
      <c r="CX23" s="1">
        <f t="shared" si="107"/>
        <v>106</v>
      </c>
      <c r="CY23" s="1">
        <f t="shared" si="107"/>
        <v>107</v>
      </c>
      <c r="CZ23" s="1">
        <f t="shared" si="107"/>
        <v>108</v>
      </c>
      <c r="DA23" s="1">
        <f t="shared" si="107"/>
        <v>109</v>
      </c>
      <c r="DB23" s="1">
        <f t="shared" si="107"/>
        <v>110</v>
      </c>
      <c r="DC23" s="1">
        <f t="shared" si="107"/>
        <v>111</v>
      </c>
      <c r="DD23" s="1">
        <f t="shared" si="107"/>
        <v>112</v>
      </c>
      <c r="DE23" s="1">
        <f t="shared" si="107"/>
        <v>113</v>
      </c>
      <c r="DF23" s="1">
        <f t="shared" si="107"/>
        <v>114</v>
      </c>
      <c r="DG23" s="1">
        <f t="shared" si="107"/>
        <v>115</v>
      </c>
      <c r="DH23" s="1">
        <f t="shared" si="107"/>
        <v>116</v>
      </c>
      <c r="DI23" s="1">
        <f t="shared" si="107"/>
        <v>117</v>
      </c>
      <c r="DJ23" s="1">
        <f t="shared" si="107"/>
        <v>118</v>
      </c>
      <c r="DK23" s="1">
        <f t="shared" si="107"/>
        <v>119</v>
      </c>
      <c r="DL23" s="1">
        <f t="shared" si="107"/>
        <v>120</v>
      </c>
      <c r="DM23" s="1">
        <f t="shared" si="103"/>
        <v>121</v>
      </c>
      <c r="DN23" s="1">
        <f t="shared" si="103"/>
        <v>122</v>
      </c>
      <c r="DO23" s="1">
        <f t="shared" si="103"/>
        <v>123</v>
      </c>
      <c r="DP23" s="1">
        <f t="shared" si="104"/>
        <v>124</v>
      </c>
      <c r="DQ23" s="1">
        <f t="shared" si="104"/>
        <v>125</v>
      </c>
      <c r="DR23" s="1">
        <f t="shared" si="104"/>
        <v>126</v>
      </c>
      <c r="DS23" s="1">
        <f t="shared" si="104"/>
        <v>127</v>
      </c>
    </row>
    <row r="24" spans="1:123" x14ac:dyDescent="0.3">
      <c r="A24" s="81"/>
      <c r="B24" s="13" t="str">
        <f t="shared" si="99"/>
        <v>0x0B</v>
      </c>
      <c r="C24" s="12">
        <f t="shared" si="101"/>
        <v>11</v>
      </c>
      <c r="D24" s="1">
        <f t="shared" si="100"/>
        <v>7.2727272727272725</v>
      </c>
      <c r="E24" s="1">
        <f t="shared" si="100"/>
        <v>8.1818181818181817</v>
      </c>
      <c r="F24" s="1">
        <f t="shared" si="100"/>
        <v>9.0909090909090917</v>
      </c>
      <c r="G24" s="1">
        <f t="shared" si="100"/>
        <v>10</v>
      </c>
      <c r="H24" s="1">
        <f t="shared" si="100"/>
        <v>10.909090909090908</v>
      </c>
      <c r="I24" s="1">
        <f t="shared" si="100"/>
        <v>11.818181818181818</v>
      </c>
      <c r="J24" s="1">
        <f t="shared" si="100"/>
        <v>12.727272727272727</v>
      </c>
      <c r="K24" s="1">
        <f t="shared" si="100"/>
        <v>13.636363636363637</v>
      </c>
      <c r="L24" s="1">
        <f t="shared" si="100"/>
        <v>14.545454545454545</v>
      </c>
      <c r="M24" s="1">
        <f t="shared" si="100"/>
        <v>15.454545454545455</v>
      </c>
      <c r="N24" s="1">
        <f t="shared" si="100"/>
        <v>16.363636363636363</v>
      </c>
      <c r="O24" s="1">
        <f t="shared" si="100"/>
        <v>17.272727272727273</v>
      </c>
      <c r="P24" s="1">
        <f t="shared" si="100"/>
        <v>18.181818181818183</v>
      </c>
      <c r="Q24" s="1">
        <f t="shared" si="100"/>
        <v>19.09090909090909</v>
      </c>
      <c r="R24" s="1">
        <f t="shared" si="100"/>
        <v>20</v>
      </c>
      <c r="S24" s="1">
        <f t="shared" si="100"/>
        <v>20.90909090909091</v>
      </c>
      <c r="T24" s="1">
        <f t="shared" si="109"/>
        <v>21.818181818181817</v>
      </c>
      <c r="U24" s="1">
        <f t="shared" si="109"/>
        <v>22.727272727272727</v>
      </c>
      <c r="V24" s="1">
        <f t="shared" si="109"/>
        <v>23.636363636363637</v>
      </c>
      <c r="W24" s="1">
        <f t="shared" si="109"/>
        <v>24.545454545454547</v>
      </c>
      <c r="X24" s="1">
        <f t="shared" si="109"/>
        <v>25.454545454545453</v>
      </c>
      <c r="Y24" s="1">
        <f t="shared" si="109"/>
        <v>26.363636363636363</v>
      </c>
      <c r="Z24" s="1">
        <f t="shared" si="109"/>
        <v>27.272727272727273</v>
      </c>
      <c r="AA24" s="1">
        <f t="shared" si="109"/>
        <v>28.181818181818183</v>
      </c>
      <c r="AB24" s="1">
        <f t="shared" si="109"/>
        <v>29.09090909090909</v>
      </c>
      <c r="AC24" s="1">
        <f t="shared" si="109"/>
        <v>30</v>
      </c>
      <c r="AD24" s="1">
        <f t="shared" si="109"/>
        <v>30.90909090909091</v>
      </c>
      <c r="AE24" s="1">
        <f t="shared" si="109"/>
        <v>31.818181818181817</v>
      </c>
      <c r="AF24" s="1">
        <f t="shared" si="109"/>
        <v>32.727272727272727</v>
      </c>
      <c r="AG24" s="1">
        <f t="shared" si="109"/>
        <v>33.636363636363633</v>
      </c>
      <c r="AH24" s="1">
        <f t="shared" si="109"/>
        <v>34.545454545454547</v>
      </c>
      <c r="AI24" s="1">
        <f t="shared" si="109"/>
        <v>35.454545454545453</v>
      </c>
      <c r="AJ24" s="1">
        <f t="shared" si="110"/>
        <v>36.363636363636367</v>
      </c>
      <c r="AK24" s="1">
        <f t="shared" si="110"/>
        <v>37.272727272727273</v>
      </c>
      <c r="AL24" s="1">
        <f t="shared" si="110"/>
        <v>38.18181818181818</v>
      </c>
      <c r="AM24" s="1">
        <f t="shared" si="110"/>
        <v>39.090909090909093</v>
      </c>
      <c r="AN24" s="1">
        <f t="shared" si="110"/>
        <v>40</v>
      </c>
      <c r="AO24" s="1">
        <f t="shared" si="110"/>
        <v>40.909090909090907</v>
      </c>
      <c r="AP24" s="1">
        <f t="shared" si="110"/>
        <v>41.81818181818182</v>
      </c>
      <c r="AQ24" s="1">
        <f t="shared" si="110"/>
        <v>42.727272727272727</v>
      </c>
      <c r="AR24" s="1">
        <f t="shared" si="110"/>
        <v>43.636363636363633</v>
      </c>
      <c r="AS24" s="1">
        <f t="shared" si="110"/>
        <v>44.545454545454547</v>
      </c>
      <c r="AT24" s="1">
        <f t="shared" si="110"/>
        <v>45.454545454545453</v>
      </c>
      <c r="AU24" s="1">
        <f t="shared" si="110"/>
        <v>46.363636363636367</v>
      </c>
      <c r="AV24" s="1">
        <f t="shared" si="110"/>
        <v>47.272727272727273</v>
      </c>
      <c r="AW24" s="1">
        <f t="shared" si="110"/>
        <v>48.18181818181818</v>
      </c>
      <c r="AX24" s="1">
        <f t="shared" si="110"/>
        <v>49.090909090909093</v>
      </c>
      <c r="AY24" s="1">
        <f t="shared" si="110"/>
        <v>50</v>
      </c>
      <c r="AZ24" s="1">
        <f t="shared" si="111"/>
        <v>50.909090909090907</v>
      </c>
      <c r="BA24" s="1">
        <f t="shared" si="111"/>
        <v>51.81818181818182</v>
      </c>
      <c r="BB24" s="1">
        <f t="shared" si="111"/>
        <v>52.727272727272727</v>
      </c>
      <c r="BC24" s="1">
        <f t="shared" si="111"/>
        <v>53.636363636363633</v>
      </c>
      <c r="BD24" s="1">
        <f t="shared" si="111"/>
        <v>54.545454545454547</v>
      </c>
      <c r="BE24" s="1">
        <f t="shared" si="111"/>
        <v>55.454545454545453</v>
      </c>
      <c r="BF24" s="1">
        <f t="shared" si="111"/>
        <v>56.363636363636367</v>
      </c>
      <c r="BG24" s="1">
        <f t="shared" si="111"/>
        <v>57.272727272727273</v>
      </c>
      <c r="BH24" s="1">
        <f t="shared" si="111"/>
        <v>58.18181818181818</v>
      </c>
      <c r="BI24" s="1">
        <f t="shared" si="111"/>
        <v>59.090909090909093</v>
      </c>
      <c r="BJ24" s="1">
        <f t="shared" si="111"/>
        <v>60</v>
      </c>
      <c r="BK24" s="1">
        <f t="shared" si="111"/>
        <v>60.909090909090907</v>
      </c>
      <c r="BL24" s="1">
        <f t="shared" si="111"/>
        <v>61.81818181818182</v>
      </c>
      <c r="BM24" s="1">
        <f t="shared" si="111"/>
        <v>62.727272727272727</v>
      </c>
      <c r="BN24" s="1">
        <f t="shared" si="111"/>
        <v>63.636363636363633</v>
      </c>
      <c r="BO24" s="1">
        <f t="shared" si="111"/>
        <v>64.545454545454547</v>
      </c>
      <c r="BP24" s="1">
        <f t="shared" si="108"/>
        <v>65.454545454545453</v>
      </c>
      <c r="BQ24" s="1">
        <f t="shared" si="105"/>
        <v>66.36363636363636</v>
      </c>
      <c r="BR24" s="1">
        <f t="shared" si="105"/>
        <v>67.272727272727266</v>
      </c>
      <c r="BS24" s="1">
        <f t="shared" si="105"/>
        <v>68.181818181818187</v>
      </c>
      <c r="BT24" s="1">
        <f t="shared" si="105"/>
        <v>69.090909090909093</v>
      </c>
      <c r="BU24" s="1">
        <f t="shared" si="105"/>
        <v>70</v>
      </c>
      <c r="BV24" s="1">
        <f t="shared" si="105"/>
        <v>70.909090909090907</v>
      </c>
      <c r="BW24" s="1">
        <f t="shared" si="105"/>
        <v>71.818181818181813</v>
      </c>
      <c r="BX24" s="1">
        <f t="shared" si="105"/>
        <v>72.727272727272734</v>
      </c>
      <c r="BY24" s="1">
        <f t="shared" si="105"/>
        <v>73.63636363636364</v>
      </c>
      <c r="BZ24" s="1">
        <f t="shared" si="105"/>
        <v>74.545454545454547</v>
      </c>
      <c r="CA24" s="1">
        <f t="shared" si="105"/>
        <v>75.454545454545453</v>
      </c>
      <c r="CB24" s="1">
        <f t="shared" si="105"/>
        <v>76.36363636363636</v>
      </c>
      <c r="CC24" s="1">
        <f t="shared" si="105"/>
        <v>77.272727272727266</v>
      </c>
      <c r="CD24" s="1">
        <f t="shared" si="105"/>
        <v>78.181818181818187</v>
      </c>
      <c r="CE24" s="1">
        <f t="shared" si="105"/>
        <v>79.090909090909093</v>
      </c>
      <c r="CF24" s="1">
        <f t="shared" si="105"/>
        <v>80</v>
      </c>
      <c r="CG24" s="1">
        <f t="shared" si="106"/>
        <v>80.909090909090907</v>
      </c>
      <c r="CH24" s="1">
        <f t="shared" si="106"/>
        <v>81.818181818181813</v>
      </c>
      <c r="CI24" s="1">
        <f t="shared" si="106"/>
        <v>82.727272727272734</v>
      </c>
      <c r="CJ24" s="1">
        <f t="shared" si="106"/>
        <v>83.63636363636364</v>
      </c>
      <c r="CK24" s="1">
        <f t="shared" si="106"/>
        <v>84.545454545454547</v>
      </c>
      <c r="CL24" s="1">
        <f t="shared" si="106"/>
        <v>85.454545454545453</v>
      </c>
      <c r="CM24" s="1">
        <f t="shared" si="106"/>
        <v>86.36363636363636</v>
      </c>
      <c r="CN24" s="1">
        <f t="shared" si="106"/>
        <v>87.272727272727266</v>
      </c>
      <c r="CO24" s="1">
        <f t="shared" si="106"/>
        <v>88.181818181818187</v>
      </c>
      <c r="CP24" s="1">
        <f t="shared" si="106"/>
        <v>89.090909090909093</v>
      </c>
      <c r="CQ24" s="1">
        <f t="shared" si="106"/>
        <v>90</v>
      </c>
      <c r="CR24" s="1">
        <f t="shared" si="106"/>
        <v>90.909090909090907</v>
      </c>
      <c r="CS24" s="1">
        <f t="shared" si="106"/>
        <v>91.818181818181813</v>
      </c>
      <c r="CT24" s="1">
        <f t="shared" si="106"/>
        <v>92.727272727272734</v>
      </c>
      <c r="CU24" s="1">
        <f t="shared" si="106"/>
        <v>93.63636363636364</v>
      </c>
      <c r="CV24" s="1">
        <f t="shared" si="106"/>
        <v>94.545454545454547</v>
      </c>
      <c r="CW24" s="1">
        <f t="shared" si="107"/>
        <v>95.454545454545453</v>
      </c>
      <c r="CX24" s="1">
        <f t="shared" si="107"/>
        <v>96.36363636363636</v>
      </c>
      <c r="CY24" s="1">
        <f t="shared" si="107"/>
        <v>97.272727272727266</v>
      </c>
      <c r="CZ24" s="1">
        <f t="shared" si="107"/>
        <v>98.181818181818187</v>
      </c>
      <c r="DA24" s="1">
        <f t="shared" si="107"/>
        <v>99.090909090909093</v>
      </c>
      <c r="DB24" s="1">
        <f t="shared" si="107"/>
        <v>100</v>
      </c>
      <c r="DC24" s="1">
        <f t="shared" si="107"/>
        <v>100.90909090909091</v>
      </c>
      <c r="DD24" s="1">
        <f t="shared" si="107"/>
        <v>101.81818181818181</v>
      </c>
      <c r="DE24" s="1">
        <f t="shared" si="107"/>
        <v>102.72727272727273</v>
      </c>
      <c r="DF24" s="1">
        <f t="shared" si="107"/>
        <v>103.63636363636364</v>
      </c>
      <c r="DG24" s="1">
        <f t="shared" si="107"/>
        <v>104.54545454545455</v>
      </c>
      <c r="DH24" s="1">
        <f t="shared" si="107"/>
        <v>105.45454545454545</v>
      </c>
      <c r="DI24" s="1">
        <f t="shared" si="107"/>
        <v>106.36363636363636</v>
      </c>
      <c r="DJ24" s="1">
        <f t="shared" si="107"/>
        <v>107.27272727272727</v>
      </c>
      <c r="DK24" s="1">
        <f t="shared" si="107"/>
        <v>108.18181818181819</v>
      </c>
      <c r="DL24" s="1">
        <f t="shared" si="107"/>
        <v>109.09090909090909</v>
      </c>
      <c r="DM24" s="1">
        <f t="shared" si="103"/>
        <v>110</v>
      </c>
      <c r="DN24" s="1">
        <f t="shared" si="103"/>
        <v>110.90909090909091</v>
      </c>
      <c r="DO24" s="1">
        <f t="shared" si="103"/>
        <v>111.81818181818181</v>
      </c>
      <c r="DP24" s="1">
        <f t="shared" si="104"/>
        <v>112.72727272727273</v>
      </c>
      <c r="DQ24" s="1">
        <f t="shared" si="104"/>
        <v>113.63636363636364</v>
      </c>
      <c r="DR24" s="1">
        <f t="shared" si="104"/>
        <v>114.54545454545455</v>
      </c>
      <c r="DS24" s="1">
        <f t="shared" si="104"/>
        <v>115.45454545454545</v>
      </c>
    </row>
    <row r="25" spans="1:123" x14ac:dyDescent="0.3">
      <c r="A25" s="81"/>
      <c r="B25" s="13" t="str">
        <f t="shared" si="99"/>
        <v>0x0C</v>
      </c>
      <c r="C25" s="12">
        <f t="shared" si="101"/>
        <v>12</v>
      </c>
      <c r="D25" s="1">
        <f t="shared" si="100"/>
        <v>6.666666666666667</v>
      </c>
      <c r="E25" s="1">
        <f t="shared" si="100"/>
        <v>7.5</v>
      </c>
      <c r="F25" s="1">
        <f t="shared" si="100"/>
        <v>8.3333333333333339</v>
      </c>
      <c r="G25" s="1">
        <f t="shared" si="100"/>
        <v>9.1666666666666661</v>
      </c>
      <c r="H25" s="1">
        <f t="shared" si="100"/>
        <v>10</v>
      </c>
      <c r="I25" s="1">
        <f t="shared" si="100"/>
        <v>10.833333333333334</v>
      </c>
      <c r="J25" s="1">
        <f t="shared" si="100"/>
        <v>11.666666666666666</v>
      </c>
      <c r="K25" s="1">
        <f t="shared" si="100"/>
        <v>12.5</v>
      </c>
      <c r="L25" s="1">
        <f t="shared" si="100"/>
        <v>13.333333333333334</v>
      </c>
      <c r="M25" s="1">
        <f t="shared" si="100"/>
        <v>14.166666666666666</v>
      </c>
      <c r="N25" s="1">
        <f t="shared" si="100"/>
        <v>15</v>
      </c>
      <c r="O25" s="1">
        <f t="shared" si="100"/>
        <v>15.833333333333334</v>
      </c>
      <c r="P25" s="1">
        <f t="shared" si="100"/>
        <v>16.666666666666668</v>
      </c>
      <c r="Q25" s="1">
        <f t="shared" si="100"/>
        <v>17.5</v>
      </c>
      <c r="R25" s="1">
        <f t="shared" si="100"/>
        <v>18.333333333333332</v>
      </c>
      <c r="S25" s="1">
        <f t="shared" si="100"/>
        <v>19.166666666666668</v>
      </c>
      <c r="T25" s="1">
        <f t="shared" si="109"/>
        <v>20</v>
      </c>
      <c r="U25" s="1">
        <f t="shared" si="109"/>
        <v>20.833333333333332</v>
      </c>
      <c r="V25" s="1">
        <f t="shared" si="109"/>
        <v>21.666666666666668</v>
      </c>
      <c r="W25" s="1">
        <f t="shared" si="109"/>
        <v>22.5</v>
      </c>
      <c r="X25" s="1">
        <f t="shared" si="109"/>
        <v>23.333333333333332</v>
      </c>
      <c r="Y25" s="1">
        <f t="shared" si="109"/>
        <v>24.166666666666668</v>
      </c>
      <c r="Z25" s="1">
        <f t="shared" si="109"/>
        <v>25</v>
      </c>
      <c r="AA25" s="1">
        <f t="shared" si="109"/>
        <v>25.833333333333332</v>
      </c>
      <c r="AB25" s="1">
        <f t="shared" si="109"/>
        <v>26.666666666666668</v>
      </c>
      <c r="AC25" s="1">
        <f t="shared" si="109"/>
        <v>27.5</v>
      </c>
      <c r="AD25" s="1">
        <f t="shared" si="109"/>
        <v>28.333333333333332</v>
      </c>
      <c r="AE25" s="1">
        <f t="shared" si="109"/>
        <v>29.166666666666668</v>
      </c>
      <c r="AF25" s="1">
        <f t="shared" si="109"/>
        <v>30</v>
      </c>
      <c r="AG25" s="1">
        <f t="shared" si="109"/>
        <v>30.833333333333332</v>
      </c>
      <c r="AH25" s="1">
        <f t="shared" si="109"/>
        <v>31.666666666666668</v>
      </c>
      <c r="AI25" s="1">
        <f t="shared" si="109"/>
        <v>32.5</v>
      </c>
      <c r="AJ25" s="1">
        <f t="shared" si="110"/>
        <v>33.333333333333336</v>
      </c>
      <c r="AK25" s="1">
        <f t="shared" si="110"/>
        <v>34.166666666666664</v>
      </c>
      <c r="AL25" s="1">
        <f t="shared" si="110"/>
        <v>35</v>
      </c>
      <c r="AM25" s="1">
        <f t="shared" si="110"/>
        <v>35.833333333333336</v>
      </c>
      <c r="AN25" s="1">
        <f t="shared" si="110"/>
        <v>36.666666666666664</v>
      </c>
      <c r="AO25" s="1">
        <f t="shared" si="110"/>
        <v>37.5</v>
      </c>
      <c r="AP25" s="1">
        <f t="shared" si="110"/>
        <v>38.333333333333336</v>
      </c>
      <c r="AQ25" s="1">
        <f t="shared" si="110"/>
        <v>39.166666666666664</v>
      </c>
      <c r="AR25" s="1">
        <f t="shared" si="110"/>
        <v>40</v>
      </c>
      <c r="AS25" s="1">
        <f t="shared" si="110"/>
        <v>40.833333333333336</v>
      </c>
      <c r="AT25" s="1">
        <f t="shared" si="110"/>
        <v>41.666666666666664</v>
      </c>
      <c r="AU25" s="1">
        <f t="shared" si="110"/>
        <v>42.5</v>
      </c>
      <c r="AV25" s="1">
        <f t="shared" si="110"/>
        <v>43.333333333333336</v>
      </c>
      <c r="AW25" s="1">
        <f t="shared" si="110"/>
        <v>44.166666666666664</v>
      </c>
      <c r="AX25" s="1">
        <f t="shared" si="110"/>
        <v>45</v>
      </c>
      <c r="AY25" s="1">
        <f t="shared" si="110"/>
        <v>45.833333333333336</v>
      </c>
      <c r="AZ25" s="1">
        <f t="shared" si="111"/>
        <v>46.666666666666664</v>
      </c>
      <c r="BA25" s="1">
        <f t="shared" si="111"/>
        <v>47.5</v>
      </c>
      <c r="BB25" s="1">
        <f t="shared" si="111"/>
        <v>48.333333333333336</v>
      </c>
      <c r="BC25" s="1">
        <f t="shared" si="111"/>
        <v>49.166666666666664</v>
      </c>
      <c r="BD25" s="1">
        <f t="shared" si="111"/>
        <v>50</v>
      </c>
      <c r="BE25" s="1">
        <f t="shared" si="111"/>
        <v>50.833333333333336</v>
      </c>
      <c r="BF25" s="1">
        <f t="shared" si="111"/>
        <v>51.666666666666664</v>
      </c>
      <c r="BG25" s="1">
        <f t="shared" si="111"/>
        <v>52.5</v>
      </c>
      <c r="BH25" s="1">
        <f t="shared" si="111"/>
        <v>53.333333333333336</v>
      </c>
      <c r="BI25" s="1">
        <f t="shared" si="111"/>
        <v>54.166666666666664</v>
      </c>
      <c r="BJ25" s="1">
        <f t="shared" si="111"/>
        <v>55</v>
      </c>
      <c r="BK25" s="1">
        <f t="shared" si="111"/>
        <v>55.833333333333336</v>
      </c>
      <c r="BL25" s="1">
        <f t="shared" si="111"/>
        <v>56.666666666666664</v>
      </c>
      <c r="BM25" s="1">
        <f t="shared" si="111"/>
        <v>57.5</v>
      </c>
      <c r="BN25" s="1">
        <f t="shared" si="111"/>
        <v>58.333333333333336</v>
      </c>
      <c r="BO25" s="1">
        <f t="shared" si="111"/>
        <v>59.166666666666664</v>
      </c>
      <c r="BP25" s="1">
        <f t="shared" si="108"/>
        <v>60</v>
      </c>
      <c r="BQ25" s="1">
        <f t="shared" si="105"/>
        <v>60.833333333333336</v>
      </c>
      <c r="BR25" s="1">
        <f t="shared" si="105"/>
        <v>61.666666666666664</v>
      </c>
      <c r="BS25" s="1">
        <f t="shared" si="105"/>
        <v>62.5</v>
      </c>
      <c r="BT25" s="1">
        <f t="shared" si="105"/>
        <v>63.333333333333336</v>
      </c>
      <c r="BU25" s="1">
        <f t="shared" si="105"/>
        <v>64.166666666666671</v>
      </c>
      <c r="BV25" s="1">
        <f t="shared" si="105"/>
        <v>65</v>
      </c>
      <c r="BW25" s="1">
        <f t="shared" si="105"/>
        <v>65.833333333333329</v>
      </c>
      <c r="BX25" s="1">
        <f t="shared" si="105"/>
        <v>66.666666666666671</v>
      </c>
      <c r="BY25" s="1">
        <f t="shared" si="105"/>
        <v>67.5</v>
      </c>
      <c r="BZ25" s="1">
        <f t="shared" si="105"/>
        <v>68.333333333333329</v>
      </c>
      <c r="CA25" s="1">
        <f t="shared" si="105"/>
        <v>69.166666666666671</v>
      </c>
      <c r="CB25" s="1">
        <f t="shared" si="105"/>
        <v>70</v>
      </c>
      <c r="CC25" s="1">
        <f t="shared" si="105"/>
        <v>70.833333333333329</v>
      </c>
      <c r="CD25" s="1">
        <f t="shared" si="105"/>
        <v>71.666666666666671</v>
      </c>
      <c r="CE25" s="1">
        <f t="shared" si="105"/>
        <v>72.5</v>
      </c>
      <c r="CF25" s="1">
        <f t="shared" si="105"/>
        <v>73.333333333333329</v>
      </c>
      <c r="CG25" s="1">
        <f t="shared" si="106"/>
        <v>74.166666666666671</v>
      </c>
      <c r="CH25" s="1">
        <f t="shared" si="106"/>
        <v>75</v>
      </c>
      <c r="CI25" s="1">
        <f t="shared" si="106"/>
        <v>75.833333333333329</v>
      </c>
      <c r="CJ25" s="1">
        <f t="shared" si="106"/>
        <v>76.666666666666671</v>
      </c>
      <c r="CK25" s="1">
        <f t="shared" si="106"/>
        <v>77.5</v>
      </c>
      <c r="CL25" s="1">
        <f t="shared" si="106"/>
        <v>78.333333333333329</v>
      </c>
      <c r="CM25" s="1">
        <f t="shared" si="106"/>
        <v>79.166666666666671</v>
      </c>
      <c r="CN25" s="1">
        <f t="shared" si="106"/>
        <v>80</v>
      </c>
      <c r="CO25" s="1">
        <f t="shared" si="106"/>
        <v>80.833333333333329</v>
      </c>
      <c r="CP25" s="1">
        <f t="shared" si="106"/>
        <v>81.666666666666671</v>
      </c>
      <c r="CQ25" s="1">
        <f t="shared" si="106"/>
        <v>82.5</v>
      </c>
      <c r="CR25" s="1">
        <f t="shared" si="106"/>
        <v>83.333333333333329</v>
      </c>
      <c r="CS25" s="1">
        <f t="shared" si="106"/>
        <v>84.166666666666671</v>
      </c>
      <c r="CT25" s="1">
        <f t="shared" si="106"/>
        <v>85</v>
      </c>
      <c r="CU25" s="1">
        <f t="shared" si="106"/>
        <v>85.833333333333329</v>
      </c>
      <c r="CV25" s="1">
        <f t="shared" si="106"/>
        <v>86.666666666666671</v>
      </c>
      <c r="CW25" s="1">
        <f t="shared" si="107"/>
        <v>87.5</v>
      </c>
      <c r="CX25" s="1">
        <f t="shared" si="107"/>
        <v>88.333333333333329</v>
      </c>
      <c r="CY25" s="1">
        <f t="shared" si="107"/>
        <v>89.166666666666671</v>
      </c>
      <c r="CZ25" s="1">
        <f t="shared" si="107"/>
        <v>90</v>
      </c>
      <c r="DA25" s="1">
        <f t="shared" si="107"/>
        <v>90.833333333333329</v>
      </c>
      <c r="DB25" s="1">
        <f t="shared" si="107"/>
        <v>91.666666666666671</v>
      </c>
      <c r="DC25" s="1">
        <f t="shared" si="107"/>
        <v>92.5</v>
      </c>
      <c r="DD25" s="1">
        <f t="shared" si="107"/>
        <v>93.333333333333329</v>
      </c>
      <c r="DE25" s="1">
        <f t="shared" si="107"/>
        <v>94.166666666666671</v>
      </c>
      <c r="DF25" s="1">
        <f t="shared" si="107"/>
        <v>95</v>
      </c>
      <c r="DG25" s="1">
        <f t="shared" si="107"/>
        <v>95.833333333333329</v>
      </c>
      <c r="DH25" s="1">
        <f t="shared" si="107"/>
        <v>96.666666666666671</v>
      </c>
      <c r="DI25" s="1">
        <f t="shared" si="107"/>
        <v>97.5</v>
      </c>
      <c r="DJ25" s="1">
        <f t="shared" si="107"/>
        <v>98.333333333333329</v>
      </c>
      <c r="DK25" s="1">
        <f t="shared" si="107"/>
        <v>99.166666666666671</v>
      </c>
      <c r="DL25" s="1">
        <f t="shared" si="107"/>
        <v>100</v>
      </c>
      <c r="DM25" s="1">
        <f t="shared" si="103"/>
        <v>100.83333333333333</v>
      </c>
      <c r="DN25" s="1">
        <f t="shared" si="103"/>
        <v>101.66666666666667</v>
      </c>
      <c r="DO25" s="1">
        <f t="shared" si="103"/>
        <v>102.5</v>
      </c>
      <c r="DP25" s="1">
        <f t="shared" si="104"/>
        <v>103.33333333333333</v>
      </c>
      <c r="DQ25" s="1">
        <f t="shared" si="104"/>
        <v>104.16666666666667</v>
      </c>
      <c r="DR25" s="1">
        <f t="shared" si="104"/>
        <v>105</v>
      </c>
      <c r="DS25" s="1">
        <f t="shared" si="104"/>
        <v>105.83333333333333</v>
      </c>
    </row>
    <row r="26" spans="1:123" x14ac:dyDescent="0.3">
      <c r="A26" s="81"/>
      <c r="B26" s="13" t="str">
        <f t="shared" si="99"/>
        <v>0x0D</v>
      </c>
      <c r="C26" s="12">
        <f t="shared" si="101"/>
        <v>13</v>
      </c>
      <c r="D26" s="1">
        <f t="shared" si="100"/>
        <v>6.1538461538461542</v>
      </c>
      <c r="E26" s="1">
        <f t="shared" si="100"/>
        <v>6.9230769230769234</v>
      </c>
      <c r="F26" s="1">
        <f t="shared" si="100"/>
        <v>7.6923076923076925</v>
      </c>
      <c r="G26" s="1">
        <f t="shared" si="100"/>
        <v>8.4615384615384617</v>
      </c>
      <c r="H26" s="1">
        <f t="shared" si="100"/>
        <v>9.2307692307692299</v>
      </c>
      <c r="I26" s="1">
        <f t="shared" si="100"/>
        <v>10</v>
      </c>
      <c r="J26" s="1">
        <f t="shared" si="100"/>
        <v>10.76923076923077</v>
      </c>
      <c r="K26" s="1">
        <f t="shared" si="100"/>
        <v>11.538461538461538</v>
      </c>
      <c r="L26" s="1">
        <f t="shared" si="100"/>
        <v>12.307692307692308</v>
      </c>
      <c r="M26" s="1">
        <f t="shared" si="100"/>
        <v>13.076923076923077</v>
      </c>
      <c r="N26" s="1">
        <f t="shared" si="100"/>
        <v>13.846153846153847</v>
      </c>
      <c r="O26" s="1">
        <f t="shared" si="100"/>
        <v>14.615384615384615</v>
      </c>
      <c r="P26" s="1">
        <f t="shared" si="100"/>
        <v>15.384615384615385</v>
      </c>
      <c r="Q26" s="1">
        <f t="shared" si="100"/>
        <v>16.153846153846153</v>
      </c>
      <c r="R26" s="1">
        <f t="shared" si="100"/>
        <v>16.923076923076923</v>
      </c>
      <c r="S26" s="1">
        <f t="shared" si="100"/>
        <v>17.692307692307693</v>
      </c>
      <c r="T26" s="1">
        <f t="shared" si="109"/>
        <v>18.46153846153846</v>
      </c>
      <c r="U26" s="1">
        <f t="shared" si="109"/>
        <v>19.23076923076923</v>
      </c>
      <c r="V26" s="1">
        <f t="shared" si="109"/>
        <v>20</v>
      </c>
      <c r="W26" s="1">
        <f t="shared" si="109"/>
        <v>20.76923076923077</v>
      </c>
      <c r="X26" s="1">
        <f t="shared" si="109"/>
        <v>21.53846153846154</v>
      </c>
      <c r="Y26" s="1">
        <f t="shared" si="109"/>
        <v>22.307692307692307</v>
      </c>
      <c r="Z26" s="1">
        <f t="shared" si="109"/>
        <v>23.076923076923077</v>
      </c>
      <c r="AA26" s="1">
        <f t="shared" si="109"/>
        <v>23.846153846153847</v>
      </c>
      <c r="AB26" s="1">
        <f t="shared" si="109"/>
        <v>24.615384615384617</v>
      </c>
      <c r="AC26" s="1">
        <f t="shared" si="109"/>
        <v>25.384615384615383</v>
      </c>
      <c r="AD26" s="1">
        <f t="shared" si="109"/>
        <v>26.153846153846153</v>
      </c>
      <c r="AE26" s="1">
        <f t="shared" si="109"/>
        <v>26.923076923076923</v>
      </c>
      <c r="AF26" s="1">
        <f t="shared" si="109"/>
        <v>27.692307692307693</v>
      </c>
      <c r="AG26" s="1">
        <f t="shared" si="109"/>
        <v>28.46153846153846</v>
      </c>
      <c r="AH26" s="1">
        <f t="shared" si="109"/>
        <v>29.23076923076923</v>
      </c>
      <c r="AI26" s="1">
        <f t="shared" si="109"/>
        <v>30</v>
      </c>
      <c r="AJ26" s="1">
        <f t="shared" si="110"/>
        <v>30.76923076923077</v>
      </c>
      <c r="AK26" s="1">
        <f t="shared" si="110"/>
        <v>31.53846153846154</v>
      </c>
      <c r="AL26" s="1">
        <f t="shared" si="110"/>
        <v>32.307692307692307</v>
      </c>
      <c r="AM26" s="1">
        <f t="shared" si="110"/>
        <v>33.07692307692308</v>
      </c>
      <c r="AN26" s="1">
        <f t="shared" si="110"/>
        <v>33.846153846153847</v>
      </c>
      <c r="AO26" s="1">
        <f t="shared" si="110"/>
        <v>34.615384615384613</v>
      </c>
      <c r="AP26" s="1">
        <f t="shared" si="110"/>
        <v>35.384615384615387</v>
      </c>
      <c r="AQ26" s="1">
        <f t="shared" si="110"/>
        <v>36.153846153846153</v>
      </c>
      <c r="AR26" s="1">
        <f t="shared" si="110"/>
        <v>36.92307692307692</v>
      </c>
      <c r="AS26" s="1">
        <f t="shared" si="110"/>
        <v>37.692307692307693</v>
      </c>
      <c r="AT26" s="1">
        <f t="shared" si="110"/>
        <v>38.46153846153846</v>
      </c>
      <c r="AU26" s="1">
        <f t="shared" si="110"/>
        <v>39.230769230769234</v>
      </c>
      <c r="AV26" s="1">
        <f t="shared" si="110"/>
        <v>40</v>
      </c>
      <c r="AW26" s="1">
        <f t="shared" si="110"/>
        <v>40.769230769230766</v>
      </c>
      <c r="AX26" s="1">
        <f t="shared" si="110"/>
        <v>41.53846153846154</v>
      </c>
      <c r="AY26" s="1">
        <f t="shared" si="110"/>
        <v>42.307692307692307</v>
      </c>
      <c r="AZ26" s="1">
        <f t="shared" si="111"/>
        <v>43.07692307692308</v>
      </c>
      <c r="BA26" s="1">
        <f t="shared" si="111"/>
        <v>43.846153846153847</v>
      </c>
      <c r="BB26" s="1">
        <f t="shared" si="111"/>
        <v>44.615384615384613</v>
      </c>
      <c r="BC26" s="1">
        <f t="shared" si="111"/>
        <v>45.384615384615387</v>
      </c>
      <c r="BD26" s="1">
        <f t="shared" si="111"/>
        <v>46.153846153846153</v>
      </c>
      <c r="BE26" s="1">
        <f t="shared" si="111"/>
        <v>46.92307692307692</v>
      </c>
      <c r="BF26" s="1">
        <f t="shared" si="111"/>
        <v>47.692307692307693</v>
      </c>
      <c r="BG26" s="1">
        <f t="shared" si="111"/>
        <v>48.46153846153846</v>
      </c>
      <c r="BH26" s="1">
        <f t="shared" si="111"/>
        <v>49.230769230769234</v>
      </c>
      <c r="BI26" s="1">
        <f t="shared" si="111"/>
        <v>50</v>
      </c>
      <c r="BJ26" s="1">
        <f t="shared" si="111"/>
        <v>50.769230769230766</v>
      </c>
      <c r="BK26" s="1">
        <f t="shared" si="111"/>
        <v>51.53846153846154</v>
      </c>
      <c r="BL26" s="1">
        <f t="shared" si="111"/>
        <v>52.307692307692307</v>
      </c>
      <c r="BM26" s="1">
        <f t="shared" si="111"/>
        <v>53.07692307692308</v>
      </c>
      <c r="BN26" s="1">
        <f t="shared" si="111"/>
        <v>53.846153846153847</v>
      </c>
      <c r="BO26" s="1">
        <f t="shared" si="111"/>
        <v>54.615384615384613</v>
      </c>
      <c r="BP26" s="1">
        <f t="shared" si="108"/>
        <v>55.384615384615387</v>
      </c>
      <c r="BQ26" s="1">
        <f t="shared" si="105"/>
        <v>56.153846153846153</v>
      </c>
      <c r="BR26" s="1">
        <f t="shared" si="105"/>
        <v>56.92307692307692</v>
      </c>
      <c r="BS26" s="1">
        <f t="shared" si="105"/>
        <v>57.692307692307693</v>
      </c>
      <c r="BT26" s="1">
        <f t="shared" si="105"/>
        <v>58.46153846153846</v>
      </c>
      <c r="BU26" s="1">
        <f t="shared" si="105"/>
        <v>59.230769230769234</v>
      </c>
      <c r="BV26" s="1">
        <f t="shared" si="105"/>
        <v>60</v>
      </c>
      <c r="BW26" s="1">
        <f t="shared" si="105"/>
        <v>60.769230769230766</v>
      </c>
      <c r="BX26" s="1">
        <f t="shared" si="105"/>
        <v>61.53846153846154</v>
      </c>
      <c r="BY26" s="1">
        <f t="shared" si="105"/>
        <v>62.307692307692307</v>
      </c>
      <c r="BZ26" s="1">
        <f t="shared" si="105"/>
        <v>63.07692307692308</v>
      </c>
      <c r="CA26" s="1">
        <f t="shared" si="105"/>
        <v>63.846153846153847</v>
      </c>
      <c r="CB26" s="1">
        <f t="shared" si="105"/>
        <v>64.615384615384613</v>
      </c>
      <c r="CC26" s="1">
        <f t="shared" si="105"/>
        <v>65.384615384615387</v>
      </c>
      <c r="CD26" s="1">
        <f t="shared" si="105"/>
        <v>66.15384615384616</v>
      </c>
      <c r="CE26" s="1">
        <f t="shared" si="105"/>
        <v>66.92307692307692</v>
      </c>
      <c r="CF26" s="1">
        <f t="shared" si="105"/>
        <v>67.692307692307693</v>
      </c>
      <c r="CG26" s="1">
        <f t="shared" si="106"/>
        <v>68.461538461538467</v>
      </c>
      <c r="CH26" s="1">
        <f t="shared" si="106"/>
        <v>69.230769230769226</v>
      </c>
      <c r="CI26" s="1">
        <f t="shared" si="106"/>
        <v>70</v>
      </c>
      <c r="CJ26" s="1">
        <f t="shared" si="106"/>
        <v>70.769230769230774</v>
      </c>
      <c r="CK26" s="1">
        <f t="shared" si="106"/>
        <v>71.538461538461533</v>
      </c>
      <c r="CL26" s="1">
        <f t="shared" si="106"/>
        <v>72.307692307692307</v>
      </c>
      <c r="CM26" s="1">
        <f t="shared" si="106"/>
        <v>73.07692307692308</v>
      </c>
      <c r="CN26" s="1">
        <f t="shared" si="106"/>
        <v>73.84615384615384</v>
      </c>
      <c r="CO26" s="1">
        <f t="shared" si="106"/>
        <v>74.615384615384613</v>
      </c>
      <c r="CP26" s="1">
        <f t="shared" si="106"/>
        <v>75.384615384615387</v>
      </c>
      <c r="CQ26" s="1">
        <f t="shared" si="106"/>
        <v>76.15384615384616</v>
      </c>
      <c r="CR26" s="1">
        <f t="shared" si="106"/>
        <v>76.92307692307692</v>
      </c>
      <c r="CS26" s="1">
        <f t="shared" si="106"/>
        <v>77.692307692307693</v>
      </c>
      <c r="CT26" s="1">
        <f t="shared" si="106"/>
        <v>78.461538461538467</v>
      </c>
      <c r="CU26" s="1">
        <f t="shared" si="106"/>
        <v>79.230769230769226</v>
      </c>
      <c r="CV26" s="1">
        <f t="shared" si="106"/>
        <v>80</v>
      </c>
      <c r="CW26" s="1">
        <f t="shared" si="107"/>
        <v>80.769230769230774</v>
      </c>
      <c r="CX26" s="1">
        <f t="shared" si="107"/>
        <v>81.538461538461533</v>
      </c>
      <c r="CY26" s="1">
        <f t="shared" si="107"/>
        <v>82.307692307692307</v>
      </c>
      <c r="CZ26" s="1">
        <f t="shared" si="107"/>
        <v>83.07692307692308</v>
      </c>
      <c r="DA26" s="1">
        <f t="shared" si="107"/>
        <v>83.84615384615384</v>
      </c>
      <c r="DB26" s="1">
        <f t="shared" si="107"/>
        <v>84.615384615384613</v>
      </c>
      <c r="DC26" s="1">
        <f t="shared" si="107"/>
        <v>85.384615384615387</v>
      </c>
      <c r="DD26" s="1">
        <f t="shared" si="107"/>
        <v>86.15384615384616</v>
      </c>
      <c r="DE26" s="1">
        <f t="shared" si="107"/>
        <v>86.92307692307692</v>
      </c>
      <c r="DF26" s="1">
        <f t="shared" si="107"/>
        <v>87.692307692307693</v>
      </c>
      <c r="DG26" s="1">
        <f t="shared" si="107"/>
        <v>88.461538461538467</v>
      </c>
      <c r="DH26" s="1">
        <f t="shared" si="107"/>
        <v>89.230769230769226</v>
      </c>
      <c r="DI26" s="1">
        <f t="shared" si="107"/>
        <v>90</v>
      </c>
      <c r="DJ26" s="1">
        <f t="shared" si="107"/>
        <v>90.769230769230774</v>
      </c>
      <c r="DK26" s="1">
        <f t="shared" si="107"/>
        <v>91.538461538461533</v>
      </c>
      <c r="DL26" s="1">
        <f t="shared" si="107"/>
        <v>92.307692307692307</v>
      </c>
      <c r="DM26" s="1">
        <f t="shared" si="103"/>
        <v>93.07692307692308</v>
      </c>
      <c r="DN26" s="1">
        <f t="shared" si="103"/>
        <v>93.84615384615384</v>
      </c>
      <c r="DO26" s="1">
        <f t="shared" si="103"/>
        <v>94.615384615384613</v>
      </c>
      <c r="DP26" s="1">
        <f t="shared" si="104"/>
        <v>95.384615384615387</v>
      </c>
      <c r="DQ26" s="1">
        <f t="shared" si="104"/>
        <v>96.15384615384616</v>
      </c>
      <c r="DR26" s="1">
        <f t="shared" si="104"/>
        <v>96.92307692307692</v>
      </c>
      <c r="DS26" s="1">
        <f t="shared" si="104"/>
        <v>97.692307692307693</v>
      </c>
    </row>
    <row r="27" spans="1:123" x14ac:dyDescent="0.3">
      <c r="A27" s="81"/>
      <c r="B27" s="13" t="str">
        <f t="shared" si="99"/>
        <v>0x0E</v>
      </c>
      <c r="C27" s="12">
        <f t="shared" si="101"/>
        <v>14</v>
      </c>
      <c r="D27" s="1">
        <f t="shared" si="100"/>
        <v>5.7142857142857144</v>
      </c>
      <c r="E27" s="1">
        <f t="shared" si="100"/>
        <v>6.4285714285714288</v>
      </c>
      <c r="F27" s="1">
        <f t="shared" si="100"/>
        <v>7.1428571428571432</v>
      </c>
      <c r="G27" s="1">
        <f t="shared" si="100"/>
        <v>7.8571428571428568</v>
      </c>
      <c r="H27" s="1">
        <f t="shared" si="100"/>
        <v>8.5714285714285712</v>
      </c>
      <c r="I27" s="1">
        <f t="shared" si="100"/>
        <v>9.2857142857142865</v>
      </c>
      <c r="J27" s="1">
        <f t="shared" si="100"/>
        <v>10</v>
      </c>
      <c r="K27" s="1">
        <f t="shared" si="100"/>
        <v>10.714285714285714</v>
      </c>
      <c r="L27" s="1">
        <f t="shared" si="100"/>
        <v>11.428571428571429</v>
      </c>
      <c r="M27" s="1">
        <f t="shared" si="100"/>
        <v>12.142857142857142</v>
      </c>
      <c r="N27" s="1">
        <f t="shared" si="100"/>
        <v>12.857142857142858</v>
      </c>
      <c r="O27" s="1">
        <f t="shared" si="100"/>
        <v>13.571428571428571</v>
      </c>
      <c r="P27" s="1">
        <f t="shared" si="100"/>
        <v>14.285714285714286</v>
      </c>
      <c r="Q27" s="1">
        <f t="shared" si="100"/>
        <v>15</v>
      </c>
      <c r="R27" s="1">
        <f t="shared" si="100"/>
        <v>15.714285714285714</v>
      </c>
      <c r="S27" s="1">
        <f t="shared" si="100"/>
        <v>16.428571428571427</v>
      </c>
      <c r="T27" s="1">
        <f t="shared" si="109"/>
        <v>17.142857142857142</v>
      </c>
      <c r="U27" s="1">
        <f t="shared" si="109"/>
        <v>17.857142857142858</v>
      </c>
      <c r="V27" s="1">
        <f t="shared" si="109"/>
        <v>18.571428571428573</v>
      </c>
      <c r="W27" s="1">
        <f t="shared" si="109"/>
        <v>19.285714285714285</v>
      </c>
      <c r="X27" s="1">
        <f t="shared" si="109"/>
        <v>20</v>
      </c>
      <c r="Y27" s="1">
        <f t="shared" si="109"/>
        <v>20.714285714285715</v>
      </c>
      <c r="Z27" s="1">
        <f t="shared" si="109"/>
        <v>21.428571428571427</v>
      </c>
      <c r="AA27" s="1">
        <f t="shared" si="109"/>
        <v>22.142857142857142</v>
      </c>
      <c r="AB27" s="1">
        <f t="shared" si="109"/>
        <v>22.857142857142858</v>
      </c>
      <c r="AC27" s="1">
        <f t="shared" si="109"/>
        <v>23.571428571428573</v>
      </c>
      <c r="AD27" s="1">
        <f t="shared" si="109"/>
        <v>24.285714285714285</v>
      </c>
      <c r="AE27" s="1">
        <f t="shared" si="109"/>
        <v>25</v>
      </c>
      <c r="AF27" s="1">
        <f t="shared" si="109"/>
        <v>25.714285714285715</v>
      </c>
      <c r="AG27" s="1">
        <f t="shared" si="109"/>
        <v>26.428571428571427</v>
      </c>
      <c r="AH27" s="1">
        <f t="shared" si="109"/>
        <v>27.142857142857142</v>
      </c>
      <c r="AI27" s="1">
        <f t="shared" si="109"/>
        <v>27.857142857142858</v>
      </c>
      <c r="AJ27" s="1">
        <f t="shared" si="110"/>
        <v>28.571428571428573</v>
      </c>
      <c r="AK27" s="1">
        <f t="shared" si="110"/>
        <v>29.285714285714285</v>
      </c>
      <c r="AL27" s="1">
        <f t="shared" si="110"/>
        <v>30</v>
      </c>
      <c r="AM27" s="1">
        <f t="shared" si="110"/>
        <v>30.714285714285715</v>
      </c>
      <c r="AN27" s="1">
        <f t="shared" si="110"/>
        <v>31.428571428571427</v>
      </c>
      <c r="AO27" s="1">
        <f t="shared" si="110"/>
        <v>32.142857142857146</v>
      </c>
      <c r="AP27" s="1">
        <f t="shared" si="110"/>
        <v>32.857142857142854</v>
      </c>
      <c r="AQ27" s="1">
        <f t="shared" si="110"/>
        <v>33.571428571428569</v>
      </c>
      <c r="AR27" s="1">
        <f t="shared" si="110"/>
        <v>34.285714285714285</v>
      </c>
      <c r="AS27" s="1">
        <f t="shared" si="110"/>
        <v>35</v>
      </c>
      <c r="AT27" s="1">
        <f t="shared" si="110"/>
        <v>35.714285714285715</v>
      </c>
      <c r="AU27" s="1">
        <f t="shared" si="110"/>
        <v>36.428571428571431</v>
      </c>
      <c r="AV27" s="1">
        <f t="shared" si="110"/>
        <v>37.142857142857146</v>
      </c>
      <c r="AW27" s="1">
        <f t="shared" si="110"/>
        <v>37.857142857142854</v>
      </c>
      <c r="AX27" s="1">
        <f t="shared" si="110"/>
        <v>38.571428571428569</v>
      </c>
      <c r="AY27" s="1">
        <f t="shared" si="110"/>
        <v>39.285714285714285</v>
      </c>
      <c r="AZ27" s="1">
        <f t="shared" si="111"/>
        <v>40</v>
      </c>
      <c r="BA27" s="1">
        <f t="shared" si="111"/>
        <v>40.714285714285715</v>
      </c>
      <c r="BB27" s="1">
        <f t="shared" si="111"/>
        <v>41.428571428571431</v>
      </c>
      <c r="BC27" s="1">
        <f t="shared" si="111"/>
        <v>42.142857142857146</v>
      </c>
      <c r="BD27" s="1">
        <f t="shared" si="111"/>
        <v>42.857142857142854</v>
      </c>
      <c r="BE27" s="1">
        <f t="shared" si="111"/>
        <v>43.571428571428569</v>
      </c>
      <c r="BF27" s="1">
        <f t="shared" si="111"/>
        <v>44.285714285714285</v>
      </c>
      <c r="BG27" s="1">
        <f t="shared" si="111"/>
        <v>45</v>
      </c>
      <c r="BH27" s="1">
        <f t="shared" si="111"/>
        <v>45.714285714285715</v>
      </c>
      <c r="BI27" s="1">
        <f t="shared" si="111"/>
        <v>46.428571428571431</v>
      </c>
      <c r="BJ27" s="1">
        <f t="shared" si="111"/>
        <v>47.142857142857146</v>
      </c>
      <c r="BK27" s="1">
        <f t="shared" si="111"/>
        <v>47.857142857142854</v>
      </c>
      <c r="BL27" s="1">
        <f t="shared" si="111"/>
        <v>48.571428571428569</v>
      </c>
      <c r="BM27" s="1">
        <f t="shared" si="111"/>
        <v>49.285714285714285</v>
      </c>
      <c r="BN27" s="1">
        <f t="shared" si="111"/>
        <v>50</v>
      </c>
      <c r="BO27" s="1">
        <f t="shared" si="111"/>
        <v>50.714285714285715</v>
      </c>
      <c r="BP27" s="1">
        <f t="shared" si="108"/>
        <v>51.428571428571431</v>
      </c>
      <c r="BQ27" s="1">
        <f t="shared" si="105"/>
        <v>52.142857142857146</v>
      </c>
      <c r="BR27" s="1">
        <f t="shared" si="105"/>
        <v>52.857142857142854</v>
      </c>
      <c r="BS27" s="1">
        <f t="shared" si="105"/>
        <v>53.571428571428569</v>
      </c>
      <c r="BT27" s="1">
        <f t="shared" si="105"/>
        <v>54.285714285714285</v>
      </c>
      <c r="BU27" s="1">
        <f t="shared" si="105"/>
        <v>55</v>
      </c>
      <c r="BV27" s="1">
        <f t="shared" si="105"/>
        <v>55.714285714285715</v>
      </c>
      <c r="BW27" s="1">
        <f t="shared" si="105"/>
        <v>56.428571428571431</v>
      </c>
      <c r="BX27" s="1">
        <f t="shared" si="105"/>
        <v>57.142857142857146</v>
      </c>
      <c r="BY27" s="1">
        <f t="shared" si="105"/>
        <v>57.857142857142854</v>
      </c>
      <c r="BZ27" s="1">
        <f t="shared" si="105"/>
        <v>58.571428571428569</v>
      </c>
      <c r="CA27" s="1">
        <f t="shared" si="105"/>
        <v>59.285714285714285</v>
      </c>
      <c r="CB27" s="1">
        <f t="shared" si="105"/>
        <v>60</v>
      </c>
      <c r="CC27" s="1">
        <f t="shared" si="105"/>
        <v>60.714285714285715</v>
      </c>
      <c r="CD27" s="1">
        <f t="shared" si="105"/>
        <v>61.428571428571431</v>
      </c>
      <c r="CE27" s="1">
        <f t="shared" si="105"/>
        <v>62.142857142857146</v>
      </c>
      <c r="CF27" s="1">
        <f t="shared" si="105"/>
        <v>62.857142857142854</v>
      </c>
      <c r="CG27" s="1">
        <f t="shared" si="106"/>
        <v>63.571428571428569</v>
      </c>
      <c r="CH27" s="1">
        <f t="shared" si="106"/>
        <v>64.285714285714292</v>
      </c>
      <c r="CI27" s="1">
        <f t="shared" si="106"/>
        <v>65</v>
      </c>
      <c r="CJ27" s="1">
        <f t="shared" si="106"/>
        <v>65.714285714285708</v>
      </c>
      <c r="CK27" s="1">
        <f t="shared" si="106"/>
        <v>66.428571428571431</v>
      </c>
      <c r="CL27" s="1">
        <f t="shared" si="106"/>
        <v>67.142857142857139</v>
      </c>
      <c r="CM27" s="1">
        <f t="shared" si="106"/>
        <v>67.857142857142861</v>
      </c>
      <c r="CN27" s="1">
        <f t="shared" si="106"/>
        <v>68.571428571428569</v>
      </c>
      <c r="CO27" s="1">
        <f t="shared" si="106"/>
        <v>69.285714285714292</v>
      </c>
      <c r="CP27" s="1">
        <f t="shared" si="106"/>
        <v>70</v>
      </c>
      <c r="CQ27" s="1">
        <f t="shared" si="106"/>
        <v>70.714285714285708</v>
      </c>
      <c r="CR27" s="1">
        <f t="shared" si="106"/>
        <v>71.428571428571431</v>
      </c>
      <c r="CS27" s="1">
        <f t="shared" si="106"/>
        <v>72.142857142857139</v>
      </c>
      <c r="CT27" s="1">
        <f t="shared" si="106"/>
        <v>72.857142857142861</v>
      </c>
      <c r="CU27" s="1">
        <f t="shared" si="106"/>
        <v>73.571428571428569</v>
      </c>
      <c r="CV27" s="1">
        <f t="shared" si="106"/>
        <v>74.285714285714292</v>
      </c>
      <c r="CW27" s="1">
        <f t="shared" si="107"/>
        <v>75</v>
      </c>
      <c r="CX27" s="1">
        <f t="shared" si="107"/>
        <v>75.714285714285708</v>
      </c>
      <c r="CY27" s="1">
        <f t="shared" si="107"/>
        <v>76.428571428571431</v>
      </c>
      <c r="CZ27" s="1">
        <f t="shared" si="107"/>
        <v>77.142857142857139</v>
      </c>
      <c r="DA27" s="1">
        <f t="shared" si="107"/>
        <v>77.857142857142861</v>
      </c>
      <c r="DB27" s="1">
        <f t="shared" si="107"/>
        <v>78.571428571428569</v>
      </c>
      <c r="DC27" s="1">
        <f t="shared" si="107"/>
        <v>79.285714285714292</v>
      </c>
      <c r="DD27" s="1">
        <f t="shared" si="107"/>
        <v>80</v>
      </c>
      <c r="DE27" s="1">
        <f t="shared" si="107"/>
        <v>80.714285714285708</v>
      </c>
      <c r="DF27" s="1">
        <f t="shared" si="107"/>
        <v>81.428571428571431</v>
      </c>
      <c r="DG27" s="1">
        <f t="shared" si="107"/>
        <v>82.142857142857139</v>
      </c>
      <c r="DH27" s="1">
        <f t="shared" si="107"/>
        <v>82.857142857142861</v>
      </c>
      <c r="DI27" s="1">
        <f t="shared" si="107"/>
        <v>83.571428571428569</v>
      </c>
      <c r="DJ27" s="1">
        <f t="shared" si="107"/>
        <v>84.285714285714292</v>
      </c>
      <c r="DK27" s="1">
        <f t="shared" si="107"/>
        <v>85</v>
      </c>
      <c r="DL27" s="1">
        <f t="shared" si="107"/>
        <v>85.714285714285708</v>
      </c>
      <c r="DM27" s="1">
        <f t="shared" si="103"/>
        <v>86.428571428571431</v>
      </c>
      <c r="DN27" s="1">
        <f t="shared" si="103"/>
        <v>87.142857142857139</v>
      </c>
      <c r="DO27" s="1">
        <f t="shared" si="103"/>
        <v>87.857142857142861</v>
      </c>
      <c r="DP27" s="1">
        <f t="shared" si="104"/>
        <v>88.571428571428569</v>
      </c>
      <c r="DQ27" s="1">
        <f t="shared" si="104"/>
        <v>89.285714285714292</v>
      </c>
      <c r="DR27" s="1">
        <f t="shared" si="104"/>
        <v>90</v>
      </c>
      <c r="DS27" s="1">
        <f t="shared" si="104"/>
        <v>90.714285714285708</v>
      </c>
    </row>
    <row r="28" spans="1:123" x14ac:dyDescent="0.3">
      <c r="A28" s="81"/>
      <c r="B28" s="13" t="str">
        <f t="shared" si="99"/>
        <v>0x0F</v>
      </c>
      <c r="C28" s="12">
        <f t="shared" si="101"/>
        <v>15</v>
      </c>
      <c r="D28" s="1">
        <f t="shared" si="100"/>
        <v>5.333333333333333</v>
      </c>
      <c r="E28" s="1">
        <f t="shared" si="100"/>
        <v>6</v>
      </c>
      <c r="F28" s="1">
        <f t="shared" si="100"/>
        <v>6.666666666666667</v>
      </c>
      <c r="G28" s="1">
        <f t="shared" si="100"/>
        <v>7.333333333333333</v>
      </c>
      <c r="H28" s="1">
        <f t="shared" si="100"/>
        <v>8</v>
      </c>
      <c r="I28" s="1">
        <f t="shared" si="100"/>
        <v>8.6666666666666661</v>
      </c>
      <c r="J28" s="1">
        <f t="shared" si="100"/>
        <v>9.3333333333333339</v>
      </c>
      <c r="K28" s="1">
        <f t="shared" si="100"/>
        <v>10</v>
      </c>
      <c r="L28" s="1">
        <f t="shared" si="100"/>
        <v>10.666666666666666</v>
      </c>
      <c r="M28" s="1">
        <f t="shared" si="100"/>
        <v>11.333333333333334</v>
      </c>
      <c r="N28" s="1">
        <f t="shared" si="100"/>
        <v>12</v>
      </c>
      <c r="O28" s="1">
        <f t="shared" si="100"/>
        <v>12.666666666666666</v>
      </c>
      <c r="P28" s="1">
        <f t="shared" si="100"/>
        <v>13.333333333333334</v>
      </c>
      <c r="Q28" s="1">
        <f t="shared" si="100"/>
        <v>14</v>
      </c>
      <c r="R28" s="1">
        <f t="shared" si="100"/>
        <v>14.666666666666666</v>
      </c>
      <c r="S28" s="1">
        <f t="shared" si="100"/>
        <v>15.333333333333334</v>
      </c>
      <c r="T28" s="1">
        <f t="shared" si="109"/>
        <v>16</v>
      </c>
      <c r="U28" s="1">
        <f t="shared" si="109"/>
        <v>16.666666666666668</v>
      </c>
      <c r="V28" s="1">
        <f t="shared" si="109"/>
        <v>17.333333333333332</v>
      </c>
      <c r="W28" s="1">
        <f t="shared" si="109"/>
        <v>18</v>
      </c>
      <c r="X28" s="1">
        <f t="shared" si="109"/>
        <v>18.666666666666668</v>
      </c>
      <c r="Y28" s="1">
        <f t="shared" si="109"/>
        <v>19.333333333333332</v>
      </c>
      <c r="Z28" s="1">
        <f t="shared" si="109"/>
        <v>20</v>
      </c>
      <c r="AA28" s="1">
        <f t="shared" si="109"/>
        <v>20.666666666666668</v>
      </c>
      <c r="AB28" s="1">
        <f t="shared" si="109"/>
        <v>21.333333333333332</v>
      </c>
      <c r="AC28" s="1">
        <f t="shared" si="109"/>
        <v>22</v>
      </c>
      <c r="AD28" s="1">
        <f t="shared" si="109"/>
        <v>22.666666666666668</v>
      </c>
      <c r="AE28" s="1">
        <f t="shared" si="109"/>
        <v>23.333333333333332</v>
      </c>
      <c r="AF28" s="1">
        <f t="shared" si="109"/>
        <v>24</v>
      </c>
      <c r="AG28" s="1">
        <f t="shared" si="109"/>
        <v>24.666666666666668</v>
      </c>
      <c r="AH28" s="1">
        <f t="shared" si="109"/>
        <v>25.333333333333332</v>
      </c>
      <c r="AI28" s="1">
        <f t="shared" si="109"/>
        <v>26</v>
      </c>
      <c r="AJ28" s="1">
        <f t="shared" si="110"/>
        <v>26.666666666666668</v>
      </c>
      <c r="AK28" s="1">
        <f t="shared" si="110"/>
        <v>27.333333333333332</v>
      </c>
      <c r="AL28" s="1">
        <f t="shared" si="110"/>
        <v>28</v>
      </c>
      <c r="AM28" s="1">
        <f t="shared" si="110"/>
        <v>28.666666666666668</v>
      </c>
      <c r="AN28" s="1">
        <f t="shared" si="110"/>
        <v>29.333333333333332</v>
      </c>
      <c r="AO28" s="1">
        <f t="shared" si="110"/>
        <v>30</v>
      </c>
      <c r="AP28" s="1">
        <f t="shared" si="110"/>
        <v>30.666666666666668</v>
      </c>
      <c r="AQ28" s="1">
        <f t="shared" si="110"/>
        <v>31.333333333333332</v>
      </c>
      <c r="AR28" s="1">
        <f t="shared" si="110"/>
        <v>32</v>
      </c>
      <c r="AS28" s="1">
        <f t="shared" si="110"/>
        <v>32.666666666666664</v>
      </c>
      <c r="AT28" s="1">
        <f t="shared" si="110"/>
        <v>33.333333333333336</v>
      </c>
      <c r="AU28" s="1">
        <f t="shared" si="110"/>
        <v>34</v>
      </c>
      <c r="AV28" s="1">
        <f t="shared" si="110"/>
        <v>34.666666666666664</v>
      </c>
      <c r="AW28" s="1">
        <f t="shared" si="110"/>
        <v>35.333333333333336</v>
      </c>
      <c r="AX28" s="1">
        <f t="shared" si="110"/>
        <v>36</v>
      </c>
      <c r="AY28" s="1">
        <f t="shared" si="110"/>
        <v>36.666666666666664</v>
      </c>
      <c r="AZ28" s="1">
        <f t="shared" si="111"/>
        <v>37.333333333333336</v>
      </c>
      <c r="BA28" s="1">
        <f t="shared" si="111"/>
        <v>38</v>
      </c>
      <c r="BB28" s="1">
        <f t="shared" si="111"/>
        <v>38.666666666666664</v>
      </c>
      <c r="BC28" s="1">
        <f t="shared" si="111"/>
        <v>39.333333333333336</v>
      </c>
      <c r="BD28" s="1">
        <f t="shared" si="111"/>
        <v>40</v>
      </c>
      <c r="BE28" s="1">
        <f t="shared" si="111"/>
        <v>40.666666666666664</v>
      </c>
      <c r="BF28" s="1">
        <f t="shared" si="111"/>
        <v>41.333333333333336</v>
      </c>
      <c r="BG28" s="1">
        <f t="shared" si="111"/>
        <v>42</v>
      </c>
      <c r="BH28" s="1">
        <f t="shared" si="111"/>
        <v>42.666666666666664</v>
      </c>
      <c r="BI28" s="1">
        <f t="shared" si="111"/>
        <v>43.333333333333336</v>
      </c>
      <c r="BJ28" s="1">
        <f t="shared" si="111"/>
        <v>44</v>
      </c>
      <c r="BK28" s="1">
        <f t="shared" si="111"/>
        <v>44.666666666666664</v>
      </c>
      <c r="BL28" s="1">
        <f t="shared" si="111"/>
        <v>45.333333333333336</v>
      </c>
      <c r="BM28" s="1">
        <f t="shared" si="111"/>
        <v>46</v>
      </c>
      <c r="BN28" s="1">
        <f t="shared" si="111"/>
        <v>46.666666666666664</v>
      </c>
      <c r="BO28" s="1">
        <f t="shared" si="111"/>
        <v>47.333333333333336</v>
      </c>
      <c r="BP28" s="1">
        <f t="shared" si="108"/>
        <v>48</v>
      </c>
      <c r="BQ28" s="1">
        <f t="shared" si="105"/>
        <v>48.666666666666664</v>
      </c>
      <c r="BR28" s="1">
        <f t="shared" si="105"/>
        <v>49.333333333333336</v>
      </c>
      <c r="BS28" s="1">
        <f t="shared" si="105"/>
        <v>50</v>
      </c>
      <c r="BT28" s="1">
        <f t="shared" si="105"/>
        <v>50.666666666666664</v>
      </c>
      <c r="BU28" s="1">
        <f t="shared" si="105"/>
        <v>51.333333333333336</v>
      </c>
      <c r="BV28" s="1">
        <f t="shared" si="105"/>
        <v>52</v>
      </c>
      <c r="BW28" s="1">
        <f t="shared" si="105"/>
        <v>52.666666666666664</v>
      </c>
      <c r="BX28" s="1">
        <f t="shared" si="105"/>
        <v>53.333333333333336</v>
      </c>
      <c r="BY28" s="1">
        <f t="shared" si="105"/>
        <v>54</v>
      </c>
      <c r="BZ28" s="1">
        <f t="shared" si="105"/>
        <v>54.666666666666664</v>
      </c>
      <c r="CA28" s="1">
        <f t="shared" si="105"/>
        <v>55.333333333333336</v>
      </c>
      <c r="CB28" s="1">
        <f t="shared" si="105"/>
        <v>56</v>
      </c>
      <c r="CC28" s="1">
        <f t="shared" si="105"/>
        <v>56.666666666666664</v>
      </c>
      <c r="CD28" s="1">
        <f t="shared" si="105"/>
        <v>57.333333333333336</v>
      </c>
      <c r="CE28" s="1">
        <f t="shared" si="105"/>
        <v>58</v>
      </c>
      <c r="CF28" s="1">
        <f t="shared" si="105"/>
        <v>58.666666666666664</v>
      </c>
      <c r="CG28" s="1">
        <f t="shared" si="106"/>
        <v>59.333333333333336</v>
      </c>
      <c r="CH28" s="1">
        <f t="shared" si="106"/>
        <v>60</v>
      </c>
      <c r="CI28" s="1">
        <f t="shared" si="106"/>
        <v>60.666666666666664</v>
      </c>
      <c r="CJ28" s="1">
        <f t="shared" si="106"/>
        <v>61.333333333333336</v>
      </c>
      <c r="CK28" s="1">
        <f t="shared" si="106"/>
        <v>62</v>
      </c>
      <c r="CL28" s="1">
        <f t="shared" si="106"/>
        <v>62.666666666666664</v>
      </c>
      <c r="CM28" s="1">
        <f t="shared" si="106"/>
        <v>63.333333333333336</v>
      </c>
      <c r="CN28" s="1">
        <f t="shared" si="106"/>
        <v>64</v>
      </c>
      <c r="CO28" s="1">
        <f t="shared" si="106"/>
        <v>64.666666666666671</v>
      </c>
      <c r="CP28" s="1">
        <f t="shared" si="106"/>
        <v>65.333333333333329</v>
      </c>
      <c r="CQ28" s="1">
        <f t="shared" si="106"/>
        <v>66</v>
      </c>
      <c r="CR28" s="1">
        <f t="shared" si="106"/>
        <v>66.666666666666671</v>
      </c>
      <c r="CS28" s="1">
        <f t="shared" si="106"/>
        <v>67.333333333333329</v>
      </c>
      <c r="CT28" s="1">
        <f t="shared" si="106"/>
        <v>68</v>
      </c>
      <c r="CU28" s="1">
        <f t="shared" si="106"/>
        <v>68.666666666666671</v>
      </c>
      <c r="CV28" s="1">
        <f t="shared" si="106"/>
        <v>69.333333333333329</v>
      </c>
      <c r="CW28" s="1">
        <f t="shared" si="107"/>
        <v>70</v>
      </c>
      <c r="CX28" s="1">
        <f t="shared" si="107"/>
        <v>70.666666666666671</v>
      </c>
      <c r="CY28" s="1">
        <f t="shared" si="107"/>
        <v>71.333333333333329</v>
      </c>
      <c r="CZ28" s="1">
        <f t="shared" si="107"/>
        <v>72</v>
      </c>
      <c r="DA28" s="1">
        <f t="shared" si="107"/>
        <v>72.666666666666671</v>
      </c>
      <c r="DB28" s="1">
        <f t="shared" si="107"/>
        <v>73.333333333333329</v>
      </c>
      <c r="DC28" s="1">
        <f t="shared" si="107"/>
        <v>74</v>
      </c>
      <c r="DD28" s="1">
        <f t="shared" si="107"/>
        <v>74.666666666666671</v>
      </c>
      <c r="DE28" s="1">
        <f t="shared" si="107"/>
        <v>75.333333333333329</v>
      </c>
      <c r="DF28" s="1">
        <f t="shared" si="107"/>
        <v>76</v>
      </c>
      <c r="DG28" s="1">
        <f t="shared" si="107"/>
        <v>76.666666666666671</v>
      </c>
      <c r="DH28" s="1">
        <f t="shared" si="107"/>
        <v>77.333333333333329</v>
      </c>
      <c r="DI28" s="1">
        <f t="shared" si="107"/>
        <v>78</v>
      </c>
      <c r="DJ28" s="1">
        <f t="shared" si="107"/>
        <v>78.666666666666671</v>
      </c>
      <c r="DK28" s="1">
        <f t="shared" si="107"/>
        <v>79.333333333333329</v>
      </c>
      <c r="DL28" s="1">
        <f t="shared" si="107"/>
        <v>80</v>
      </c>
      <c r="DM28" s="1">
        <f t="shared" si="103"/>
        <v>80.666666666666671</v>
      </c>
      <c r="DN28" s="1">
        <f t="shared" si="103"/>
        <v>81.333333333333329</v>
      </c>
      <c r="DO28" s="1">
        <f t="shared" si="103"/>
        <v>82</v>
      </c>
      <c r="DP28" s="1">
        <f t="shared" si="104"/>
        <v>82.666666666666671</v>
      </c>
      <c r="DQ28" s="1">
        <f t="shared" si="104"/>
        <v>83.333333333333329</v>
      </c>
      <c r="DR28" s="1">
        <f t="shared" si="104"/>
        <v>84</v>
      </c>
      <c r="DS28" s="1">
        <f t="shared" si="104"/>
        <v>84.666666666666671</v>
      </c>
    </row>
    <row r="29" spans="1:123" x14ac:dyDescent="0.3">
      <c r="A29" s="81"/>
      <c r="B29" s="13" t="str">
        <f t="shared" si="99"/>
        <v>0x10</v>
      </c>
      <c r="C29" s="12">
        <f t="shared" si="101"/>
        <v>16</v>
      </c>
      <c r="D29" s="1">
        <f t="shared" si="100"/>
        <v>5</v>
      </c>
      <c r="E29" s="1">
        <f t="shared" si="100"/>
        <v>5.625</v>
      </c>
      <c r="F29" s="1">
        <f t="shared" si="100"/>
        <v>6.25</v>
      </c>
      <c r="G29" s="1">
        <f t="shared" si="100"/>
        <v>6.875</v>
      </c>
      <c r="H29" s="1">
        <f t="shared" si="100"/>
        <v>7.5</v>
      </c>
      <c r="I29" s="1">
        <f t="shared" si="100"/>
        <v>8.125</v>
      </c>
      <c r="J29" s="1">
        <f t="shared" si="100"/>
        <v>8.75</v>
      </c>
      <c r="K29" s="1">
        <f t="shared" si="100"/>
        <v>9.375</v>
      </c>
      <c r="L29" s="1">
        <f t="shared" si="100"/>
        <v>10</v>
      </c>
      <c r="M29" s="1">
        <f t="shared" si="100"/>
        <v>10.625</v>
      </c>
      <c r="N29" s="1">
        <f t="shared" si="100"/>
        <v>11.25</v>
      </c>
      <c r="O29" s="1">
        <f t="shared" si="100"/>
        <v>11.875</v>
      </c>
      <c r="P29" s="1">
        <f t="shared" si="100"/>
        <v>12.5</v>
      </c>
      <c r="Q29" s="1">
        <f t="shared" si="100"/>
        <v>13.125</v>
      </c>
      <c r="R29" s="1">
        <f t="shared" si="100"/>
        <v>13.75</v>
      </c>
      <c r="S29" s="1">
        <f t="shared" si="100"/>
        <v>14.375</v>
      </c>
      <c r="T29" s="1">
        <f t="shared" si="109"/>
        <v>15</v>
      </c>
      <c r="U29" s="1">
        <f t="shared" si="109"/>
        <v>15.625</v>
      </c>
      <c r="V29" s="1">
        <f t="shared" si="109"/>
        <v>16.25</v>
      </c>
      <c r="W29" s="1">
        <f t="shared" si="109"/>
        <v>16.875</v>
      </c>
      <c r="X29" s="1">
        <f t="shared" si="109"/>
        <v>17.5</v>
      </c>
      <c r="Y29" s="1">
        <f t="shared" si="109"/>
        <v>18.125</v>
      </c>
      <c r="Z29" s="1">
        <f t="shared" si="109"/>
        <v>18.75</v>
      </c>
      <c r="AA29" s="1">
        <f t="shared" si="109"/>
        <v>19.375</v>
      </c>
      <c r="AB29" s="1">
        <f t="shared" si="109"/>
        <v>20</v>
      </c>
      <c r="AC29" s="1">
        <f t="shared" si="109"/>
        <v>20.625</v>
      </c>
      <c r="AD29" s="1">
        <f t="shared" si="109"/>
        <v>21.25</v>
      </c>
      <c r="AE29" s="1">
        <f t="shared" si="109"/>
        <v>21.875</v>
      </c>
      <c r="AF29" s="1">
        <f t="shared" si="109"/>
        <v>22.5</v>
      </c>
      <c r="AG29" s="1">
        <f t="shared" si="109"/>
        <v>23.125</v>
      </c>
      <c r="AH29" s="1">
        <f t="shared" si="109"/>
        <v>23.75</v>
      </c>
      <c r="AI29" s="1">
        <f t="shared" si="109"/>
        <v>24.375</v>
      </c>
      <c r="AJ29" s="1">
        <f t="shared" si="110"/>
        <v>25</v>
      </c>
      <c r="AK29" s="1">
        <f t="shared" si="110"/>
        <v>25.625</v>
      </c>
      <c r="AL29" s="1">
        <f t="shared" si="110"/>
        <v>26.25</v>
      </c>
      <c r="AM29" s="1">
        <f t="shared" si="110"/>
        <v>26.875</v>
      </c>
      <c r="AN29" s="1">
        <f t="shared" si="110"/>
        <v>27.5</v>
      </c>
      <c r="AO29" s="1">
        <f t="shared" si="110"/>
        <v>28.125</v>
      </c>
      <c r="AP29" s="1">
        <f t="shared" si="110"/>
        <v>28.75</v>
      </c>
      <c r="AQ29" s="1">
        <f t="shared" si="110"/>
        <v>29.375</v>
      </c>
      <c r="AR29" s="1">
        <f t="shared" si="110"/>
        <v>30</v>
      </c>
      <c r="AS29" s="1">
        <f t="shared" si="110"/>
        <v>30.625</v>
      </c>
      <c r="AT29" s="1">
        <f t="shared" si="110"/>
        <v>31.25</v>
      </c>
      <c r="AU29" s="1">
        <f t="shared" si="110"/>
        <v>31.875</v>
      </c>
      <c r="AV29" s="1">
        <f t="shared" si="110"/>
        <v>32.5</v>
      </c>
      <c r="AW29" s="1">
        <f t="shared" si="110"/>
        <v>33.125</v>
      </c>
      <c r="AX29" s="1">
        <f t="shared" si="110"/>
        <v>33.75</v>
      </c>
      <c r="AY29" s="1">
        <f t="shared" si="110"/>
        <v>34.375</v>
      </c>
      <c r="AZ29" s="1">
        <f t="shared" si="111"/>
        <v>35</v>
      </c>
      <c r="BA29" s="1">
        <f t="shared" si="111"/>
        <v>35.625</v>
      </c>
      <c r="BB29" s="1">
        <f t="shared" si="111"/>
        <v>36.25</v>
      </c>
      <c r="BC29" s="1">
        <f t="shared" si="111"/>
        <v>36.875</v>
      </c>
      <c r="BD29" s="1">
        <f t="shared" si="111"/>
        <v>37.5</v>
      </c>
      <c r="BE29" s="1">
        <f t="shared" si="111"/>
        <v>38.125</v>
      </c>
      <c r="BF29" s="1">
        <f t="shared" si="111"/>
        <v>38.75</v>
      </c>
      <c r="BG29" s="1">
        <f t="shared" si="111"/>
        <v>39.375</v>
      </c>
      <c r="BH29" s="1">
        <f t="shared" si="111"/>
        <v>40</v>
      </c>
      <c r="BI29" s="1">
        <f t="shared" si="111"/>
        <v>40.625</v>
      </c>
      <c r="BJ29" s="1">
        <f t="shared" si="111"/>
        <v>41.25</v>
      </c>
      <c r="BK29" s="1">
        <f t="shared" si="111"/>
        <v>41.875</v>
      </c>
      <c r="BL29" s="1">
        <f t="shared" si="111"/>
        <v>42.5</v>
      </c>
      <c r="BM29" s="1">
        <f t="shared" si="111"/>
        <v>43.125</v>
      </c>
      <c r="BN29" s="1">
        <f t="shared" si="111"/>
        <v>43.75</v>
      </c>
      <c r="BO29" s="1">
        <f t="shared" si="111"/>
        <v>44.375</v>
      </c>
      <c r="BP29" s="1">
        <f t="shared" si="108"/>
        <v>45</v>
      </c>
      <c r="BQ29" s="1">
        <f t="shared" si="105"/>
        <v>45.625</v>
      </c>
      <c r="BR29" s="1">
        <f t="shared" si="105"/>
        <v>46.25</v>
      </c>
      <c r="BS29" s="1">
        <f t="shared" si="105"/>
        <v>46.875</v>
      </c>
      <c r="BT29" s="1">
        <f t="shared" si="105"/>
        <v>47.5</v>
      </c>
      <c r="BU29" s="1">
        <f t="shared" si="105"/>
        <v>48.125</v>
      </c>
      <c r="BV29" s="1">
        <f t="shared" si="105"/>
        <v>48.75</v>
      </c>
      <c r="BW29" s="1">
        <f t="shared" si="105"/>
        <v>49.375</v>
      </c>
      <c r="BX29" s="1">
        <f t="shared" si="105"/>
        <v>50</v>
      </c>
      <c r="BY29" s="1">
        <f t="shared" si="105"/>
        <v>50.625</v>
      </c>
      <c r="BZ29" s="1">
        <f t="shared" si="105"/>
        <v>51.25</v>
      </c>
      <c r="CA29" s="1">
        <f t="shared" si="105"/>
        <v>51.875</v>
      </c>
      <c r="CB29" s="1">
        <f t="shared" si="105"/>
        <v>52.5</v>
      </c>
      <c r="CC29" s="1">
        <f t="shared" si="105"/>
        <v>53.125</v>
      </c>
      <c r="CD29" s="1">
        <f t="shared" si="105"/>
        <v>53.75</v>
      </c>
      <c r="CE29" s="1">
        <f t="shared" si="105"/>
        <v>54.375</v>
      </c>
      <c r="CF29" s="1">
        <f t="shared" si="105"/>
        <v>55</v>
      </c>
      <c r="CG29" s="1">
        <f t="shared" si="106"/>
        <v>55.625</v>
      </c>
      <c r="CH29" s="1">
        <f t="shared" si="106"/>
        <v>56.25</v>
      </c>
      <c r="CI29" s="1">
        <f t="shared" si="106"/>
        <v>56.875</v>
      </c>
      <c r="CJ29" s="1">
        <f t="shared" si="106"/>
        <v>57.5</v>
      </c>
      <c r="CK29" s="1">
        <f t="shared" si="106"/>
        <v>58.125</v>
      </c>
      <c r="CL29" s="1">
        <f t="shared" si="106"/>
        <v>58.75</v>
      </c>
      <c r="CM29" s="1">
        <f t="shared" si="106"/>
        <v>59.375</v>
      </c>
      <c r="CN29" s="1">
        <f t="shared" si="106"/>
        <v>60</v>
      </c>
      <c r="CO29" s="1">
        <f t="shared" si="106"/>
        <v>60.625</v>
      </c>
      <c r="CP29" s="1">
        <f t="shared" si="106"/>
        <v>61.25</v>
      </c>
      <c r="CQ29" s="1">
        <f t="shared" si="106"/>
        <v>61.875</v>
      </c>
      <c r="CR29" s="1">
        <f t="shared" si="106"/>
        <v>62.5</v>
      </c>
      <c r="CS29" s="1">
        <f t="shared" si="106"/>
        <v>63.125</v>
      </c>
      <c r="CT29" s="1">
        <f t="shared" si="106"/>
        <v>63.75</v>
      </c>
      <c r="CU29" s="1">
        <f t="shared" si="106"/>
        <v>64.375</v>
      </c>
      <c r="CV29" s="1">
        <f t="shared" si="106"/>
        <v>65</v>
      </c>
      <c r="CW29" s="1">
        <f t="shared" si="107"/>
        <v>65.625</v>
      </c>
      <c r="CX29" s="1">
        <f t="shared" si="107"/>
        <v>66.25</v>
      </c>
      <c r="CY29" s="1">
        <f t="shared" si="107"/>
        <v>66.875</v>
      </c>
      <c r="CZ29" s="1">
        <f t="shared" si="107"/>
        <v>67.5</v>
      </c>
      <c r="DA29" s="1">
        <f t="shared" si="107"/>
        <v>68.125</v>
      </c>
      <c r="DB29" s="1">
        <f t="shared" si="107"/>
        <v>68.75</v>
      </c>
      <c r="DC29" s="1">
        <f t="shared" si="107"/>
        <v>69.375</v>
      </c>
      <c r="DD29" s="1">
        <f t="shared" si="107"/>
        <v>70</v>
      </c>
      <c r="DE29" s="1">
        <f t="shared" si="107"/>
        <v>70.625</v>
      </c>
      <c r="DF29" s="1">
        <f t="shared" si="107"/>
        <v>71.25</v>
      </c>
      <c r="DG29" s="1">
        <f t="shared" si="107"/>
        <v>71.875</v>
      </c>
      <c r="DH29" s="1">
        <f t="shared" si="107"/>
        <v>72.5</v>
      </c>
      <c r="DI29" s="1">
        <f t="shared" si="107"/>
        <v>73.125</v>
      </c>
      <c r="DJ29" s="1">
        <f t="shared" si="107"/>
        <v>73.75</v>
      </c>
      <c r="DK29" s="1">
        <f t="shared" si="107"/>
        <v>74.375</v>
      </c>
      <c r="DL29" s="1">
        <f t="shared" si="107"/>
        <v>75</v>
      </c>
      <c r="DM29" s="1">
        <f t="shared" si="103"/>
        <v>75.625</v>
      </c>
      <c r="DN29" s="1">
        <f t="shared" si="103"/>
        <v>76.25</v>
      </c>
      <c r="DO29" s="1">
        <f t="shared" si="103"/>
        <v>76.875</v>
      </c>
      <c r="DP29" s="1">
        <f t="shared" si="104"/>
        <v>77.5</v>
      </c>
      <c r="DQ29" s="1">
        <f t="shared" si="104"/>
        <v>78.125</v>
      </c>
      <c r="DR29" s="1">
        <f t="shared" si="104"/>
        <v>78.75</v>
      </c>
      <c r="DS29" s="1">
        <f t="shared" si="104"/>
        <v>79.375</v>
      </c>
    </row>
    <row r="30" spans="1:123" x14ac:dyDescent="0.3">
      <c r="A30" s="81"/>
      <c r="B30" s="13" t="str">
        <f t="shared" si="99"/>
        <v>0x11</v>
      </c>
      <c r="C30" s="12">
        <f t="shared" si="101"/>
        <v>17</v>
      </c>
      <c r="D30" s="1">
        <f t="shared" si="100"/>
        <v>4.7058823529411766</v>
      </c>
      <c r="E30" s="1">
        <f t="shared" si="100"/>
        <v>5.2941176470588234</v>
      </c>
      <c r="F30" s="1">
        <f t="shared" si="100"/>
        <v>5.882352941176471</v>
      </c>
      <c r="G30" s="1">
        <f t="shared" si="100"/>
        <v>6.4705882352941178</v>
      </c>
      <c r="H30" s="1">
        <f t="shared" si="100"/>
        <v>7.0588235294117645</v>
      </c>
      <c r="I30" s="1">
        <f t="shared" si="100"/>
        <v>7.6470588235294121</v>
      </c>
      <c r="J30" s="1">
        <f t="shared" si="100"/>
        <v>8.235294117647058</v>
      </c>
      <c r="K30" s="1">
        <f t="shared" si="100"/>
        <v>8.8235294117647065</v>
      </c>
      <c r="L30" s="1">
        <f t="shared" si="100"/>
        <v>9.4117647058823533</v>
      </c>
      <c r="M30" s="1">
        <f t="shared" si="100"/>
        <v>10</v>
      </c>
      <c r="N30" s="1">
        <f t="shared" si="100"/>
        <v>10.588235294117647</v>
      </c>
      <c r="O30" s="1">
        <f t="shared" si="100"/>
        <v>11.176470588235293</v>
      </c>
      <c r="P30" s="1">
        <f t="shared" si="100"/>
        <v>11.764705882352942</v>
      </c>
      <c r="Q30" s="1">
        <f t="shared" si="100"/>
        <v>12.352941176470589</v>
      </c>
      <c r="R30" s="1">
        <f t="shared" si="100"/>
        <v>12.941176470588236</v>
      </c>
      <c r="S30" s="1">
        <f t="shared" si="100"/>
        <v>13.529411764705882</v>
      </c>
      <c r="T30" s="1">
        <f t="shared" si="109"/>
        <v>14.117647058823529</v>
      </c>
      <c r="U30" s="1">
        <f t="shared" si="109"/>
        <v>14.705882352941176</v>
      </c>
      <c r="V30" s="1">
        <f t="shared" si="109"/>
        <v>15.294117647058824</v>
      </c>
      <c r="W30" s="1">
        <f t="shared" si="109"/>
        <v>15.882352941176471</v>
      </c>
      <c r="X30" s="1">
        <f t="shared" si="109"/>
        <v>16.470588235294116</v>
      </c>
      <c r="Y30" s="1">
        <f t="shared" si="109"/>
        <v>17.058823529411764</v>
      </c>
      <c r="Z30" s="1">
        <f t="shared" si="109"/>
        <v>17.647058823529413</v>
      </c>
      <c r="AA30" s="1">
        <f t="shared" si="109"/>
        <v>18.235294117647058</v>
      </c>
      <c r="AB30" s="1">
        <f t="shared" si="109"/>
        <v>18.823529411764707</v>
      </c>
      <c r="AC30" s="1">
        <f t="shared" si="109"/>
        <v>19.411764705882351</v>
      </c>
      <c r="AD30" s="1">
        <f t="shared" si="109"/>
        <v>20</v>
      </c>
      <c r="AE30" s="1">
        <f t="shared" si="109"/>
        <v>20.588235294117649</v>
      </c>
      <c r="AF30" s="1">
        <f t="shared" si="109"/>
        <v>21.176470588235293</v>
      </c>
      <c r="AG30" s="1">
        <f t="shared" si="109"/>
        <v>21.764705882352942</v>
      </c>
      <c r="AH30" s="1">
        <f t="shared" si="109"/>
        <v>22.352941176470587</v>
      </c>
      <c r="AI30" s="1">
        <f t="shared" si="109"/>
        <v>22.941176470588236</v>
      </c>
      <c r="AJ30" s="1">
        <f t="shared" si="110"/>
        <v>23.529411764705884</v>
      </c>
      <c r="AK30" s="1">
        <f t="shared" si="110"/>
        <v>24.117647058823529</v>
      </c>
      <c r="AL30" s="1">
        <f t="shared" si="110"/>
        <v>24.705882352941178</v>
      </c>
      <c r="AM30" s="1">
        <f t="shared" si="110"/>
        <v>25.294117647058822</v>
      </c>
      <c r="AN30" s="1">
        <f t="shared" si="110"/>
        <v>25.882352941176471</v>
      </c>
      <c r="AO30" s="1">
        <f t="shared" si="110"/>
        <v>26.470588235294116</v>
      </c>
      <c r="AP30" s="1">
        <f t="shared" si="110"/>
        <v>27.058823529411764</v>
      </c>
      <c r="AQ30" s="1">
        <f t="shared" si="110"/>
        <v>27.647058823529413</v>
      </c>
      <c r="AR30" s="1">
        <f t="shared" si="110"/>
        <v>28.235294117647058</v>
      </c>
      <c r="AS30" s="1">
        <f t="shared" si="110"/>
        <v>28.823529411764707</v>
      </c>
      <c r="AT30" s="1">
        <f t="shared" si="110"/>
        <v>29.411764705882351</v>
      </c>
      <c r="AU30" s="1">
        <f t="shared" si="110"/>
        <v>30</v>
      </c>
      <c r="AV30" s="1">
        <f t="shared" si="110"/>
        <v>30.588235294117649</v>
      </c>
      <c r="AW30" s="1">
        <f t="shared" si="110"/>
        <v>31.176470588235293</v>
      </c>
      <c r="AX30" s="1">
        <f t="shared" si="110"/>
        <v>31.764705882352942</v>
      </c>
      <c r="AY30" s="1">
        <f t="shared" si="110"/>
        <v>32.352941176470587</v>
      </c>
      <c r="AZ30" s="1">
        <f t="shared" si="111"/>
        <v>32.941176470588232</v>
      </c>
      <c r="BA30" s="1">
        <f t="shared" si="111"/>
        <v>33.529411764705884</v>
      </c>
      <c r="BB30" s="1">
        <f t="shared" si="111"/>
        <v>34.117647058823529</v>
      </c>
      <c r="BC30" s="1">
        <f t="shared" si="111"/>
        <v>34.705882352941174</v>
      </c>
      <c r="BD30" s="1">
        <f t="shared" si="111"/>
        <v>35.294117647058826</v>
      </c>
      <c r="BE30" s="1">
        <f t="shared" si="111"/>
        <v>35.882352941176471</v>
      </c>
      <c r="BF30" s="1">
        <f t="shared" si="111"/>
        <v>36.470588235294116</v>
      </c>
      <c r="BG30" s="1">
        <f t="shared" si="111"/>
        <v>37.058823529411768</v>
      </c>
      <c r="BH30" s="1">
        <f t="shared" si="111"/>
        <v>37.647058823529413</v>
      </c>
      <c r="BI30" s="1">
        <f t="shared" si="111"/>
        <v>38.235294117647058</v>
      </c>
      <c r="BJ30" s="1">
        <f t="shared" si="111"/>
        <v>38.823529411764703</v>
      </c>
      <c r="BK30" s="1">
        <f t="shared" si="111"/>
        <v>39.411764705882355</v>
      </c>
      <c r="BL30" s="1">
        <f t="shared" si="111"/>
        <v>40</v>
      </c>
      <c r="BM30" s="1">
        <f t="shared" si="111"/>
        <v>40.588235294117645</v>
      </c>
      <c r="BN30" s="1">
        <f t="shared" si="111"/>
        <v>41.176470588235297</v>
      </c>
      <c r="BO30" s="1">
        <f t="shared" si="111"/>
        <v>41.764705882352942</v>
      </c>
      <c r="BP30" s="1">
        <f t="shared" si="108"/>
        <v>42.352941176470587</v>
      </c>
      <c r="BQ30" s="1">
        <f t="shared" si="105"/>
        <v>42.941176470588232</v>
      </c>
      <c r="BR30" s="1">
        <f t="shared" si="105"/>
        <v>43.529411764705884</v>
      </c>
      <c r="BS30" s="1">
        <f t="shared" si="105"/>
        <v>44.117647058823529</v>
      </c>
      <c r="BT30" s="1">
        <f t="shared" si="105"/>
        <v>44.705882352941174</v>
      </c>
      <c r="BU30" s="1">
        <f t="shared" si="105"/>
        <v>45.294117647058826</v>
      </c>
      <c r="BV30" s="1">
        <f t="shared" si="105"/>
        <v>45.882352941176471</v>
      </c>
      <c r="BW30" s="1">
        <f t="shared" si="105"/>
        <v>46.470588235294116</v>
      </c>
      <c r="BX30" s="1">
        <f t="shared" si="105"/>
        <v>47.058823529411768</v>
      </c>
      <c r="BY30" s="1">
        <f t="shared" si="105"/>
        <v>47.647058823529413</v>
      </c>
      <c r="BZ30" s="1">
        <f t="shared" si="105"/>
        <v>48.235294117647058</v>
      </c>
      <c r="CA30" s="1">
        <f t="shared" si="105"/>
        <v>48.823529411764703</v>
      </c>
      <c r="CB30" s="1">
        <f t="shared" si="105"/>
        <v>49.411764705882355</v>
      </c>
      <c r="CC30" s="1">
        <f t="shared" si="105"/>
        <v>50</v>
      </c>
      <c r="CD30" s="1">
        <f t="shared" si="105"/>
        <v>50.588235294117645</v>
      </c>
      <c r="CE30" s="1">
        <f t="shared" si="105"/>
        <v>51.176470588235297</v>
      </c>
      <c r="CF30" s="1">
        <f t="shared" si="105"/>
        <v>51.764705882352942</v>
      </c>
      <c r="CG30" s="1">
        <f t="shared" si="106"/>
        <v>52.352941176470587</v>
      </c>
      <c r="CH30" s="1">
        <f t="shared" si="106"/>
        <v>52.941176470588232</v>
      </c>
      <c r="CI30" s="1">
        <f t="shared" si="106"/>
        <v>53.529411764705884</v>
      </c>
      <c r="CJ30" s="1">
        <f t="shared" si="106"/>
        <v>54.117647058823529</v>
      </c>
      <c r="CK30" s="1">
        <f t="shared" si="106"/>
        <v>54.705882352941174</v>
      </c>
      <c r="CL30" s="1">
        <f t="shared" si="106"/>
        <v>55.294117647058826</v>
      </c>
      <c r="CM30" s="1">
        <f t="shared" si="106"/>
        <v>55.882352941176471</v>
      </c>
      <c r="CN30" s="1">
        <f t="shared" si="106"/>
        <v>56.470588235294116</v>
      </c>
      <c r="CO30" s="1">
        <f t="shared" si="106"/>
        <v>57.058823529411768</v>
      </c>
      <c r="CP30" s="1">
        <f t="shared" si="106"/>
        <v>57.647058823529413</v>
      </c>
      <c r="CQ30" s="1">
        <f t="shared" si="106"/>
        <v>58.235294117647058</v>
      </c>
      <c r="CR30" s="1">
        <f t="shared" si="106"/>
        <v>58.823529411764703</v>
      </c>
      <c r="CS30" s="1">
        <f t="shared" si="106"/>
        <v>59.411764705882355</v>
      </c>
      <c r="CT30" s="1">
        <f t="shared" si="106"/>
        <v>60</v>
      </c>
      <c r="CU30" s="1">
        <f t="shared" si="106"/>
        <v>60.588235294117645</v>
      </c>
      <c r="CV30" s="1">
        <f t="shared" si="106"/>
        <v>61.176470588235297</v>
      </c>
      <c r="CW30" s="1">
        <f t="shared" si="107"/>
        <v>61.764705882352942</v>
      </c>
      <c r="CX30" s="1">
        <f t="shared" si="107"/>
        <v>62.352941176470587</v>
      </c>
      <c r="CY30" s="1">
        <f t="shared" si="107"/>
        <v>62.941176470588232</v>
      </c>
      <c r="CZ30" s="1">
        <f t="shared" si="107"/>
        <v>63.529411764705884</v>
      </c>
      <c r="DA30" s="1">
        <f t="shared" si="107"/>
        <v>64.117647058823536</v>
      </c>
      <c r="DB30" s="1">
        <f t="shared" si="107"/>
        <v>64.705882352941174</v>
      </c>
      <c r="DC30" s="1">
        <f t="shared" si="107"/>
        <v>65.294117647058826</v>
      </c>
      <c r="DD30" s="1">
        <f t="shared" si="107"/>
        <v>65.882352941176464</v>
      </c>
      <c r="DE30" s="1">
        <f t="shared" si="107"/>
        <v>66.470588235294116</v>
      </c>
      <c r="DF30" s="1">
        <f t="shared" si="107"/>
        <v>67.058823529411768</v>
      </c>
      <c r="DG30" s="1">
        <f t="shared" si="107"/>
        <v>67.647058823529406</v>
      </c>
      <c r="DH30" s="1">
        <f t="shared" si="107"/>
        <v>68.235294117647058</v>
      </c>
      <c r="DI30" s="1">
        <f t="shared" si="107"/>
        <v>68.82352941176471</v>
      </c>
      <c r="DJ30" s="1">
        <f t="shared" si="107"/>
        <v>69.411764705882348</v>
      </c>
      <c r="DK30" s="1">
        <f t="shared" si="107"/>
        <v>70</v>
      </c>
      <c r="DL30" s="1">
        <f t="shared" si="107"/>
        <v>70.588235294117652</v>
      </c>
      <c r="DM30" s="1">
        <f t="shared" si="103"/>
        <v>71.17647058823529</v>
      </c>
      <c r="DN30" s="1">
        <f t="shared" si="103"/>
        <v>71.764705882352942</v>
      </c>
      <c r="DO30" s="1">
        <f t="shared" si="103"/>
        <v>72.352941176470594</v>
      </c>
      <c r="DP30" s="1">
        <f t="shared" si="104"/>
        <v>72.941176470588232</v>
      </c>
      <c r="DQ30" s="1">
        <f t="shared" si="104"/>
        <v>73.529411764705884</v>
      </c>
      <c r="DR30" s="1">
        <f t="shared" si="104"/>
        <v>74.117647058823536</v>
      </c>
      <c r="DS30" s="1">
        <f t="shared" si="104"/>
        <v>74.705882352941174</v>
      </c>
    </row>
    <row r="31" spans="1:123" x14ac:dyDescent="0.3">
      <c r="A31" s="81"/>
      <c r="B31" s="13" t="str">
        <f t="shared" si="99"/>
        <v>0x12</v>
      </c>
      <c r="C31" s="12">
        <f t="shared" si="101"/>
        <v>18</v>
      </c>
      <c r="D31" s="1">
        <f t="shared" si="100"/>
        <v>4.4444444444444446</v>
      </c>
      <c r="E31" s="1">
        <f t="shared" si="100"/>
        <v>5</v>
      </c>
      <c r="F31" s="1">
        <f t="shared" si="100"/>
        <v>5.5555555555555554</v>
      </c>
      <c r="G31" s="1">
        <f t="shared" si="100"/>
        <v>6.1111111111111107</v>
      </c>
      <c r="H31" s="1">
        <f t="shared" si="100"/>
        <v>6.666666666666667</v>
      </c>
      <c r="I31" s="1">
        <f t="shared" si="100"/>
        <v>7.2222222222222223</v>
      </c>
      <c r="J31" s="1">
        <f t="shared" si="100"/>
        <v>7.7777777777777777</v>
      </c>
      <c r="K31" s="1">
        <f t="shared" si="100"/>
        <v>8.3333333333333339</v>
      </c>
      <c r="L31" s="1">
        <f t="shared" si="100"/>
        <v>8.8888888888888893</v>
      </c>
      <c r="M31" s="1">
        <f t="shared" si="100"/>
        <v>9.4444444444444446</v>
      </c>
      <c r="N31" s="1">
        <f t="shared" si="100"/>
        <v>10</v>
      </c>
      <c r="O31" s="1">
        <f t="shared" si="100"/>
        <v>10.555555555555555</v>
      </c>
      <c r="P31" s="1">
        <f t="shared" si="100"/>
        <v>11.111111111111111</v>
      </c>
      <c r="Q31" s="1">
        <f t="shared" si="100"/>
        <v>11.666666666666666</v>
      </c>
      <c r="R31" s="1">
        <f t="shared" si="100"/>
        <v>12.222222222222221</v>
      </c>
      <c r="S31" s="1">
        <f t="shared" si="100"/>
        <v>12.777777777777779</v>
      </c>
      <c r="T31" s="1">
        <f t="shared" si="109"/>
        <v>13.333333333333334</v>
      </c>
      <c r="U31" s="1">
        <f t="shared" si="109"/>
        <v>13.888888888888889</v>
      </c>
      <c r="V31" s="1">
        <f t="shared" si="109"/>
        <v>14.444444444444445</v>
      </c>
      <c r="W31" s="1">
        <f t="shared" si="109"/>
        <v>15</v>
      </c>
      <c r="X31" s="1">
        <f t="shared" si="109"/>
        <v>15.555555555555555</v>
      </c>
      <c r="Y31" s="1">
        <f t="shared" si="109"/>
        <v>16.111111111111111</v>
      </c>
      <c r="Z31" s="1">
        <f t="shared" si="109"/>
        <v>16.666666666666668</v>
      </c>
      <c r="AA31" s="1">
        <f t="shared" si="109"/>
        <v>17.222222222222221</v>
      </c>
      <c r="AB31" s="1">
        <f t="shared" si="109"/>
        <v>17.777777777777779</v>
      </c>
      <c r="AC31" s="1">
        <f t="shared" si="109"/>
        <v>18.333333333333332</v>
      </c>
      <c r="AD31" s="1">
        <f t="shared" si="109"/>
        <v>18.888888888888889</v>
      </c>
      <c r="AE31" s="1">
        <f t="shared" si="109"/>
        <v>19.444444444444443</v>
      </c>
      <c r="AF31" s="1">
        <f t="shared" si="109"/>
        <v>20</v>
      </c>
      <c r="AG31" s="1">
        <f t="shared" si="109"/>
        <v>20.555555555555557</v>
      </c>
      <c r="AH31" s="1">
        <f t="shared" si="109"/>
        <v>21.111111111111111</v>
      </c>
      <c r="AI31" s="1">
        <f t="shared" si="109"/>
        <v>21.666666666666668</v>
      </c>
      <c r="AJ31" s="1">
        <f t="shared" si="110"/>
        <v>22.222222222222221</v>
      </c>
      <c r="AK31" s="1">
        <f t="shared" si="110"/>
        <v>22.777777777777779</v>
      </c>
      <c r="AL31" s="1">
        <f t="shared" si="110"/>
        <v>23.333333333333332</v>
      </c>
      <c r="AM31" s="1">
        <f t="shared" si="110"/>
        <v>23.888888888888889</v>
      </c>
      <c r="AN31" s="1">
        <f t="shared" si="110"/>
        <v>24.444444444444443</v>
      </c>
      <c r="AO31" s="1">
        <f t="shared" si="110"/>
        <v>25</v>
      </c>
      <c r="AP31" s="1">
        <f t="shared" si="110"/>
        <v>25.555555555555557</v>
      </c>
      <c r="AQ31" s="1">
        <f t="shared" si="110"/>
        <v>26.111111111111111</v>
      </c>
      <c r="AR31" s="1">
        <f t="shared" si="110"/>
        <v>26.666666666666668</v>
      </c>
      <c r="AS31" s="1">
        <f t="shared" si="110"/>
        <v>27.222222222222221</v>
      </c>
      <c r="AT31" s="1">
        <f t="shared" si="110"/>
        <v>27.777777777777779</v>
      </c>
      <c r="AU31" s="1">
        <f t="shared" si="110"/>
        <v>28.333333333333332</v>
      </c>
      <c r="AV31" s="1">
        <f t="shared" si="110"/>
        <v>28.888888888888889</v>
      </c>
      <c r="AW31" s="1">
        <f t="shared" si="110"/>
        <v>29.444444444444443</v>
      </c>
      <c r="AX31" s="1">
        <f t="shared" si="110"/>
        <v>30</v>
      </c>
      <c r="AY31" s="1">
        <f t="shared" si="110"/>
        <v>30.555555555555557</v>
      </c>
      <c r="AZ31" s="1">
        <f t="shared" si="111"/>
        <v>31.111111111111111</v>
      </c>
      <c r="BA31" s="1">
        <f t="shared" si="111"/>
        <v>31.666666666666668</v>
      </c>
      <c r="BB31" s="1">
        <f t="shared" si="111"/>
        <v>32.222222222222221</v>
      </c>
      <c r="BC31" s="1">
        <f t="shared" si="111"/>
        <v>32.777777777777779</v>
      </c>
      <c r="BD31" s="1">
        <f t="shared" si="111"/>
        <v>33.333333333333336</v>
      </c>
      <c r="BE31" s="1">
        <f t="shared" si="111"/>
        <v>33.888888888888886</v>
      </c>
      <c r="BF31" s="1">
        <f t="shared" si="111"/>
        <v>34.444444444444443</v>
      </c>
      <c r="BG31" s="1">
        <f t="shared" si="111"/>
        <v>35</v>
      </c>
      <c r="BH31" s="1">
        <f t="shared" si="111"/>
        <v>35.555555555555557</v>
      </c>
      <c r="BI31" s="1">
        <f t="shared" si="111"/>
        <v>36.111111111111114</v>
      </c>
      <c r="BJ31" s="1">
        <f t="shared" si="111"/>
        <v>36.666666666666664</v>
      </c>
      <c r="BK31" s="1">
        <f t="shared" si="111"/>
        <v>37.222222222222221</v>
      </c>
      <c r="BL31" s="1">
        <f t="shared" si="111"/>
        <v>37.777777777777779</v>
      </c>
      <c r="BM31" s="1">
        <f t="shared" si="111"/>
        <v>38.333333333333336</v>
      </c>
      <c r="BN31" s="1">
        <f t="shared" si="111"/>
        <v>38.888888888888886</v>
      </c>
      <c r="BO31" s="1">
        <f t="shared" si="111"/>
        <v>39.444444444444443</v>
      </c>
      <c r="BP31" s="1">
        <f t="shared" si="108"/>
        <v>40</v>
      </c>
      <c r="BQ31" s="1">
        <f t="shared" si="105"/>
        <v>40.555555555555557</v>
      </c>
      <c r="BR31" s="1">
        <f t="shared" si="105"/>
        <v>41.111111111111114</v>
      </c>
      <c r="BS31" s="1">
        <f t="shared" si="105"/>
        <v>41.666666666666664</v>
      </c>
      <c r="BT31" s="1">
        <f t="shared" si="105"/>
        <v>42.222222222222221</v>
      </c>
      <c r="BU31" s="1">
        <f t="shared" si="105"/>
        <v>42.777777777777779</v>
      </c>
      <c r="BV31" s="1">
        <f t="shared" si="105"/>
        <v>43.333333333333336</v>
      </c>
      <c r="BW31" s="1">
        <f t="shared" si="105"/>
        <v>43.888888888888886</v>
      </c>
      <c r="BX31" s="1">
        <f t="shared" si="105"/>
        <v>44.444444444444443</v>
      </c>
      <c r="BY31" s="1">
        <f t="shared" si="105"/>
        <v>45</v>
      </c>
      <c r="BZ31" s="1">
        <f t="shared" si="105"/>
        <v>45.555555555555557</v>
      </c>
      <c r="CA31" s="1">
        <f t="shared" si="105"/>
        <v>46.111111111111114</v>
      </c>
      <c r="CB31" s="1">
        <f t="shared" si="105"/>
        <v>46.666666666666664</v>
      </c>
      <c r="CC31" s="1">
        <f t="shared" si="105"/>
        <v>47.222222222222221</v>
      </c>
      <c r="CD31" s="1">
        <f t="shared" si="105"/>
        <v>47.777777777777779</v>
      </c>
      <c r="CE31" s="1">
        <f t="shared" si="105"/>
        <v>48.333333333333336</v>
      </c>
      <c r="CF31" s="1">
        <f t="shared" si="105"/>
        <v>48.888888888888886</v>
      </c>
      <c r="CG31" s="1">
        <f t="shared" si="106"/>
        <v>49.444444444444443</v>
      </c>
      <c r="CH31" s="1">
        <f t="shared" si="106"/>
        <v>50</v>
      </c>
      <c r="CI31" s="1">
        <f t="shared" si="106"/>
        <v>50.555555555555557</v>
      </c>
      <c r="CJ31" s="1">
        <f t="shared" si="106"/>
        <v>51.111111111111114</v>
      </c>
      <c r="CK31" s="1">
        <f t="shared" si="106"/>
        <v>51.666666666666664</v>
      </c>
      <c r="CL31" s="1">
        <f t="shared" si="106"/>
        <v>52.222222222222221</v>
      </c>
      <c r="CM31" s="1">
        <f t="shared" si="106"/>
        <v>52.777777777777779</v>
      </c>
      <c r="CN31" s="1">
        <f t="shared" si="106"/>
        <v>53.333333333333336</v>
      </c>
      <c r="CO31" s="1">
        <f t="shared" si="106"/>
        <v>53.888888888888886</v>
      </c>
      <c r="CP31" s="1">
        <f t="shared" si="106"/>
        <v>54.444444444444443</v>
      </c>
      <c r="CQ31" s="1">
        <f t="shared" si="106"/>
        <v>55</v>
      </c>
      <c r="CR31" s="1">
        <f t="shared" si="106"/>
        <v>55.555555555555557</v>
      </c>
      <c r="CS31" s="1">
        <f t="shared" si="106"/>
        <v>56.111111111111114</v>
      </c>
      <c r="CT31" s="1">
        <f t="shared" si="106"/>
        <v>56.666666666666664</v>
      </c>
      <c r="CU31" s="1">
        <f t="shared" si="106"/>
        <v>57.222222222222221</v>
      </c>
      <c r="CV31" s="1">
        <f t="shared" si="106"/>
        <v>57.777777777777779</v>
      </c>
      <c r="CW31" s="1">
        <f t="shared" si="107"/>
        <v>58.333333333333336</v>
      </c>
      <c r="CX31" s="1">
        <f t="shared" si="107"/>
        <v>58.888888888888886</v>
      </c>
      <c r="CY31" s="1">
        <f t="shared" si="107"/>
        <v>59.444444444444443</v>
      </c>
      <c r="CZ31" s="1">
        <f t="shared" si="107"/>
        <v>60</v>
      </c>
      <c r="DA31" s="1">
        <f t="shared" si="107"/>
        <v>60.555555555555557</v>
      </c>
      <c r="DB31" s="1">
        <f t="shared" si="107"/>
        <v>61.111111111111114</v>
      </c>
      <c r="DC31" s="1">
        <f t="shared" si="107"/>
        <v>61.666666666666664</v>
      </c>
      <c r="DD31" s="1">
        <f t="shared" si="107"/>
        <v>62.222222222222221</v>
      </c>
      <c r="DE31" s="1">
        <f t="shared" si="107"/>
        <v>62.777777777777779</v>
      </c>
      <c r="DF31" s="1">
        <f t="shared" si="107"/>
        <v>63.333333333333336</v>
      </c>
      <c r="DG31" s="1">
        <f t="shared" si="107"/>
        <v>63.888888888888886</v>
      </c>
      <c r="DH31" s="1">
        <f t="shared" si="107"/>
        <v>64.444444444444443</v>
      </c>
      <c r="DI31" s="1">
        <f t="shared" si="107"/>
        <v>65</v>
      </c>
      <c r="DJ31" s="1">
        <f t="shared" si="107"/>
        <v>65.555555555555557</v>
      </c>
      <c r="DK31" s="1">
        <f t="shared" si="107"/>
        <v>66.111111111111114</v>
      </c>
      <c r="DL31" s="1">
        <f t="shared" si="107"/>
        <v>66.666666666666671</v>
      </c>
      <c r="DM31" s="1">
        <f t="shared" si="103"/>
        <v>67.222222222222229</v>
      </c>
      <c r="DN31" s="1">
        <f t="shared" si="103"/>
        <v>67.777777777777771</v>
      </c>
      <c r="DO31" s="1">
        <f t="shared" si="103"/>
        <v>68.333333333333329</v>
      </c>
      <c r="DP31" s="1">
        <f t="shared" si="104"/>
        <v>68.888888888888886</v>
      </c>
      <c r="DQ31" s="1">
        <f t="shared" si="104"/>
        <v>69.444444444444443</v>
      </c>
      <c r="DR31" s="1">
        <f t="shared" si="104"/>
        <v>70</v>
      </c>
      <c r="DS31" s="1">
        <f t="shared" si="104"/>
        <v>70.555555555555557</v>
      </c>
    </row>
    <row r="32" spans="1:123" x14ac:dyDescent="0.3">
      <c r="A32" s="81"/>
      <c r="B32" s="13" t="str">
        <f t="shared" si="99"/>
        <v>0x13</v>
      </c>
      <c r="C32" s="12">
        <f t="shared" si="101"/>
        <v>19</v>
      </c>
      <c r="D32" s="1">
        <f t="shared" si="100"/>
        <v>4.2105263157894735</v>
      </c>
      <c r="E32" s="1">
        <f t="shared" si="100"/>
        <v>4.7368421052631575</v>
      </c>
      <c r="F32" s="1">
        <f t="shared" si="100"/>
        <v>5.2631578947368425</v>
      </c>
      <c r="G32" s="1">
        <f t="shared" si="100"/>
        <v>5.7894736842105265</v>
      </c>
      <c r="H32" s="1">
        <f t="shared" si="100"/>
        <v>6.3157894736842106</v>
      </c>
      <c r="I32" s="1">
        <f t="shared" si="100"/>
        <v>6.8421052631578947</v>
      </c>
      <c r="J32" s="1">
        <f t="shared" si="100"/>
        <v>7.3684210526315788</v>
      </c>
      <c r="K32" s="1">
        <f t="shared" si="100"/>
        <v>7.8947368421052628</v>
      </c>
      <c r="L32" s="1">
        <f t="shared" si="100"/>
        <v>8.4210526315789469</v>
      </c>
      <c r="M32" s="1">
        <f t="shared" si="100"/>
        <v>8.9473684210526319</v>
      </c>
      <c r="N32" s="1">
        <f t="shared" si="100"/>
        <v>9.473684210526315</v>
      </c>
      <c r="O32" s="1">
        <f t="shared" si="100"/>
        <v>10</v>
      </c>
      <c r="P32" s="1">
        <f t="shared" si="100"/>
        <v>10.526315789473685</v>
      </c>
      <c r="Q32" s="1">
        <f t="shared" si="100"/>
        <v>11.052631578947368</v>
      </c>
      <c r="R32" s="1">
        <f t="shared" si="100"/>
        <v>11.578947368421053</v>
      </c>
      <c r="S32" s="1">
        <f t="shared" si="100"/>
        <v>12.105263157894736</v>
      </c>
      <c r="T32" s="1">
        <f t="shared" si="109"/>
        <v>12.631578947368421</v>
      </c>
      <c r="U32" s="1">
        <f t="shared" si="109"/>
        <v>13.157894736842104</v>
      </c>
      <c r="V32" s="1">
        <f t="shared" si="109"/>
        <v>13.684210526315789</v>
      </c>
      <c r="W32" s="1">
        <f t="shared" si="109"/>
        <v>14.210526315789474</v>
      </c>
      <c r="X32" s="1">
        <f t="shared" si="109"/>
        <v>14.736842105263158</v>
      </c>
      <c r="Y32" s="1">
        <f t="shared" si="109"/>
        <v>15.263157894736842</v>
      </c>
      <c r="Z32" s="1">
        <f t="shared" si="109"/>
        <v>15.789473684210526</v>
      </c>
      <c r="AA32" s="1">
        <f t="shared" si="109"/>
        <v>16.315789473684209</v>
      </c>
      <c r="AB32" s="1">
        <f t="shared" si="109"/>
        <v>16.842105263157894</v>
      </c>
      <c r="AC32" s="1">
        <f t="shared" si="109"/>
        <v>17.368421052631579</v>
      </c>
      <c r="AD32" s="1">
        <f t="shared" si="109"/>
        <v>17.894736842105264</v>
      </c>
      <c r="AE32" s="1">
        <f t="shared" si="109"/>
        <v>18.421052631578949</v>
      </c>
      <c r="AF32" s="1">
        <f t="shared" si="109"/>
        <v>18.94736842105263</v>
      </c>
      <c r="AG32" s="1">
        <f t="shared" si="109"/>
        <v>19.473684210526315</v>
      </c>
      <c r="AH32" s="1">
        <f t="shared" si="109"/>
        <v>20</v>
      </c>
      <c r="AI32" s="1">
        <f t="shared" si="109"/>
        <v>20.526315789473685</v>
      </c>
      <c r="AJ32" s="1">
        <f t="shared" si="110"/>
        <v>21.05263157894737</v>
      </c>
      <c r="AK32" s="1">
        <f t="shared" si="110"/>
        <v>21.578947368421051</v>
      </c>
      <c r="AL32" s="1">
        <f t="shared" si="110"/>
        <v>22.105263157894736</v>
      </c>
      <c r="AM32" s="1">
        <f t="shared" si="110"/>
        <v>22.631578947368421</v>
      </c>
      <c r="AN32" s="1">
        <f t="shared" si="110"/>
        <v>23.157894736842106</v>
      </c>
      <c r="AO32" s="1">
        <f t="shared" si="110"/>
        <v>23.684210526315791</v>
      </c>
      <c r="AP32" s="1">
        <f t="shared" si="110"/>
        <v>24.210526315789473</v>
      </c>
      <c r="AQ32" s="1">
        <f t="shared" si="110"/>
        <v>24.736842105263158</v>
      </c>
      <c r="AR32" s="1">
        <f t="shared" si="110"/>
        <v>25.263157894736842</v>
      </c>
      <c r="AS32" s="1">
        <f t="shared" si="110"/>
        <v>25.789473684210527</v>
      </c>
      <c r="AT32" s="1">
        <f t="shared" si="110"/>
        <v>26.315789473684209</v>
      </c>
      <c r="AU32" s="1">
        <f t="shared" si="110"/>
        <v>26.842105263157894</v>
      </c>
      <c r="AV32" s="1">
        <f t="shared" si="110"/>
        <v>27.368421052631579</v>
      </c>
      <c r="AW32" s="1">
        <f t="shared" si="110"/>
        <v>27.894736842105264</v>
      </c>
      <c r="AX32" s="1">
        <f t="shared" si="110"/>
        <v>28.421052631578949</v>
      </c>
      <c r="AY32" s="1">
        <f t="shared" si="110"/>
        <v>28.94736842105263</v>
      </c>
      <c r="AZ32" s="1">
        <f t="shared" si="111"/>
        <v>29.473684210526315</v>
      </c>
      <c r="BA32" s="1">
        <f t="shared" si="111"/>
        <v>30</v>
      </c>
      <c r="BB32" s="1">
        <f t="shared" si="111"/>
        <v>30.526315789473685</v>
      </c>
      <c r="BC32" s="1">
        <f t="shared" si="111"/>
        <v>31.05263157894737</v>
      </c>
      <c r="BD32" s="1">
        <f t="shared" si="111"/>
        <v>31.578947368421051</v>
      </c>
      <c r="BE32" s="1">
        <f t="shared" si="111"/>
        <v>32.10526315789474</v>
      </c>
      <c r="BF32" s="1">
        <f t="shared" si="111"/>
        <v>32.631578947368418</v>
      </c>
      <c r="BG32" s="1">
        <f t="shared" si="111"/>
        <v>33.157894736842103</v>
      </c>
      <c r="BH32" s="1">
        <f t="shared" si="111"/>
        <v>33.684210526315788</v>
      </c>
      <c r="BI32" s="1">
        <f t="shared" si="111"/>
        <v>34.210526315789473</v>
      </c>
      <c r="BJ32" s="1">
        <f t="shared" si="111"/>
        <v>34.736842105263158</v>
      </c>
      <c r="BK32" s="1">
        <f t="shared" si="111"/>
        <v>35.263157894736842</v>
      </c>
      <c r="BL32" s="1">
        <f t="shared" si="111"/>
        <v>35.789473684210527</v>
      </c>
      <c r="BM32" s="1">
        <f t="shared" si="111"/>
        <v>36.315789473684212</v>
      </c>
      <c r="BN32" s="1">
        <f t="shared" si="111"/>
        <v>36.842105263157897</v>
      </c>
      <c r="BO32" s="1">
        <f t="shared" si="111"/>
        <v>37.368421052631582</v>
      </c>
      <c r="BP32" s="1">
        <f t="shared" si="108"/>
        <v>37.89473684210526</v>
      </c>
      <c r="BQ32" s="1">
        <f t="shared" si="105"/>
        <v>38.421052631578945</v>
      </c>
      <c r="BR32" s="1">
        <f t="shared" si="105"/>
        <v>38.94736842105263</v>
      </c>
      <c r="BS32" s="1">
        <f t="shared" si="105"/>
        <v>39.473684210526315</v>
      </c>
      <c r="BT32" s="1">
        <f t="shared" si="105"/>
        <v>40</v>
      </c>
      <c r="BU32" s="1">
        <f t="shared" si="105"/>
        <v>40.526315789473685</v>
      </c>
      <c r="BV32" s="1">
        <f t="shared" si="105"/>
        <v>41.05263157894737</v>
      </c>
      <c r="BW32" s="1">
        <f t="shared" si="105"/>
        <v>41.578947368421055</v>
      </c>
      <c r="BX32" s="1">
        <f t="shared" si="105"/>
        <v>42.10526315789474</v>
      </c>
      <c r="BY32" s="1">
        <f t="shared" si="105"/>
        <v>42.631578947368418</v>
      </c>
      <c r="BZ32" s="1">
        <f t="shared" si="105"/>
        <v>43.157894736842103</v>
      </c>
      <c r="CA32" s="1">
        <f t="shared" si="105"/>
        <v>43.684210526315788</v>
      </c>
      <c r="CB32" s="1">
        <f t="shared" si="105"/>
        <v>44.210526315789473</v>
      </c>
      <c r="CC32" s="1">
        <f t="shared" si="105"/>
        <v>44.736842105263158</v>
      </c>
      <c r="CD32" s="1">
        <f t="shared" si="105"/>
        <v>45.263157894736842</v>
      </c>
      <c r="CE32" s="1">
        <f t="shared" si="105"/>
        <v>45.789473684210527</v>
      </c>
      <c r="CF32" s="1">
        <f t="shared" si="105"/>
        <v>46.315789473684212</v>
      </c>
      <c r="CG32" s="1">
        <f t="shared" si="106"/>
        <v>46.842105263157897</v>
      </c>
      <c r="CH32" s="1">
        <f t="shared" si="106"/>
        <v>47.368421052631582</v>
      </c>
      <c r="CI32" s="1">
        <f t="shared" si="106"/>
        <v>47.89473684210526</v>
      </c>
      <c r="CJ32" s="1">
        <f t="shared" si="106"/>
        <v>48.421052631578945</v>
      </c>
      <c r="CK32" s="1">
        <f t="shared" si="106"/>
        <v>48.94736842105263</v>
      </c>
      <c r="CL32" s="1">
        <f t="shared" si="106"/>
        <v>49.473684210526315</v>
      </c>
      <c r="CM32" s="1">
        <f t="shared" si="106"/>
        <v>50</v>
      </c>
      <c r="CN32" s="1">
        <f t="shared" si="106"/>
        <v>50.526315789473685</v>
      </c>
      <c r="CO32" s="1">
        <f t="shared" si="106"/>
        <v>51.05263157894737</v>
      </c>
      <c r="CP32" s="1">
        <f t="shared" si="106"/>
        <v>51.578947368421055</v>
      </c>
      <c r="CQ32" s="1">
        <f t="shared" si="106"/>
        <v>52.10526315789474</v>
      </c>
      <c r="CR32" s="1">
        <f t="shared" si="106"/>
        <v>52.631578947368418</v>
      </c>
      <c r="CS32" s="1">
        <f t="shared" si="106"/>
        <v>53.157894736842103</v>
      </c>
      <c r="CT32" s="1">
        <f t="shared" si="106"/>
        <v>53.684210526315788</v>
      </c>
      <c r="CU32" s="1">
        <f t="shared" si="106"/>
        <v>54.210526315789473</v>
      </c>
      <c r="CV32" s="1">
        <f t="shared" si="106"/>
        <v>54.736842105263158</v>
      </c>
      <c r="CW32" s="1">
        <f t="shared" si="107"/>
        <v>55.263157894736842</v>
      </c>
      <c r="CX32" s="1">
        <f t="shared" si="107"/>
        <v>55.789473684210527</v>
      </c>
      <c r="CY32" s="1">
        <f t="shared" si="107"/>
        <v>56.315789473684212</v>
      </c>
      <c r="CZ32" s="1">
        <f t="shared" si="107"/>
        <v>56.842105263157897</v>
      </c>
      <c r="DA32" s="1">
        <f t="shared" si="107"/>
        <v>57.368421052631582</v>
      </c>
      <c r="DB32" s="1">
        <f t="shared" si="107"/>
        <v>57.89473684210526</v>
      </c>
      <c r="DC32" s="1">
        <f t="shared" si="107"/>
        <v>58.421052631578945</v>
      </c>
      <c r="DD32" s="1">
        <f t="shared" si="107"/>
        <v>58.94736842105263</v>
      </c>
      <c r="DE32" s="1">
        <f t="shared" si="107"/>
        <v>59.473684210526315</v>
      </c>
      <c r="DF32" s="1">
        <f t="shared" si="107"/>
        <v>60</v>
      </c>
      <c r="DG32" s="1">
        <f t="shared" si="107"/>
        <v>60.526315789473685</v>
      </c>
      <c r="DH32" s="1">
        <f t="shared" si="107"/>
        <v>61.05263157894737</v>
      </c>
      <c r="DI32" s="1">
        <f t="shared" si="107"/>
        <v>61.578947368421055</v>
      </c>
      <c r="DJ32" s="1">
        <f t="shared" si="107"/>
        <v>62.10526315789474</v>
      </c>
      <c r="DK32" s="1">
        <f t="shared" si="107"/>
        <v>62.631578947368418</v>
      </c>
      <c r="DL32" s="1">
        <f t="shared" si="107"/>
        <v>63.157894736842103</v>
      </c>
      <c r="DM32" s="1">
        <f t="shared" si="103"/>
        <v>63.684210526315788</v>
      </c>
      <c r="DN32" s="1">
        <f t="shared" si="103"/>
        <v>64.21052631578948</v>
      </c>
      <c r="DO32" s="1">
        <f t="shared" si="103"/>
        <v>64.736842105263165</v>
      </c>
      <c r="DP32" s="1">
        <f t="shared" si="104"/>
        <v>65.263157894736835</v>
      </c>
      <c r="DQ32" s="1">
        <f t="shared" si="104"/>
        <v>65.78947368421052</v>
      </c>
      <c r="DR32" s="1">
        <f t="shared" si="104"/>
        <v>66.315789473684205</v>
      </c>
      <c r="DS32" s="1">
        <f t="shared" si="104"/>
        <v>66.84210526315789</v>
      </c>
    </row>
    <row r="33" spans="1:123" x14ac:dyDescent="0.3">
      <c r="A33" s="81"/>
      <c r="B33" s="13" t="str">
        <f t="shared" si="99"/>
        <v>0x14</v>
      </c>
      <c r="C33" s="12">
        <f t="shared" si="101"/>
        <v>20</v>
      </c>
      <c r="D33" s="1">
        <f t="shared" si="100"/>
        <v>4</v>
      </c>
      <c r="E33" s="1">
        <f t="shared" si="100"/>
        <v>4.5</v>
      </c>
      <c r="F33" s="1">
        <f t="shared" si="100"/>
        <v>5</v>
      </c>
      <c r="G33" s="1">
        <f t="shared" si="100"/>
        <v>5.5</v>
      </c>
      <c r="H33" s="1">
        <f t="shared" si="100"/>
        <v>6</v>
      </c>
      <c r="I33" s="1">
        <f t="shared" si="100"/>
        <v>6.5</v>
      </c>
      <c r="J33" s="1">
        <f t="shared" si="100"/>
        <v>7</v>
      </c>
      <c r="K33" s="1">
        <f t="shared" si="100"/>
        <v>7.5</v>
      </c>
      <c r="L33" s="1">
        <f t="shared" si="100"/>
        <v>8</v>
      </c>
      <c r="M33" s="1">
        <f t="shared" si="100"/>
        <v>8.5</v>
      </c>
      <c r="N33" s="1">
        <f t="shared" si="100"/>
        <v>9</v>
      </c>
      <c r="O33" s="1">
        <f t="shared" si="100"/>
        <v>9.5</v>
      </c>
      <c r="P33" s="1">
        <f t="shared" si="100"/>
        <v>10</v>
      </c>
      <c r="Q33" s="1">
        <f t="shared" si="100"/>
        <v>10.5</v>
      </c>
      <c r="R33" s="1">
        <f t="shared" si="100"/>
        <v>11</v>
      </c>
      <c r="S33" s="1">
        <f t="shared" si="100"/>
        <v>11.5</v>
      </c>
      <c r="T33" s="1">
        <f t="shared" si="109"/>
        <v>12</v>
      </c>
      <c r="U33" s="1">
        <f t="shared" si="109"/>
        <v>12.5</v>
      </c>
      <c r="V33" s="1">
        <f t="shared" si="109"/>
        <v>13</v>
      </c>
      <c r="W33" s="1">
        <f t="shared" si="109"/>
        <v>13.5</v>
      </c>
      <c r="X33" s="1">
        <f t="shared" si="109"/>
        <v>14</v>
      </c>
      <c r="Y33" s="1">
        <f t="shared" si="109"/>
        <v>14.5</v>
      </c>
      <c r="Z33" s="1">
        <f t="shared" si="109"/>
        <v>15</v>
      </c>
      <c r="AA33" s="1">
        <f t="shared" si="109"/>
        <v>15.5</v>
      </c>
      <c r="AB33" s="1">
        <f t="shared" si="109"/>
        <v>16</v>
      </c>
      <c r="AC33" s="1">
        <f t="shared" si="109"/>
        <v>16.5</v>
      </c>
      <c r="AD33" s="1">
        <f t="shared" si="109"/>
        <v>17</v>
      </c>
      <c r="AE33" s="1">
        <f t="shared" si="109"/>
        <v>17.5</v>
      </c>
      <c r="AF33" s="1">
        <f t="shared" si="109"/>
        <v>18</v>
      </c>
      <c r="AG33" s="1">
        <f t="shared" si="109"/>
        <v>18.5</v>
      </c>
      <c r="AH33" s="1">
        <f t="shared" si="109"/>
        <v>19</v>
      </c>
      <c r="AI33" s="1">
        <f t="shared" si="109"/>
        <v>19.5</v>
      </c>
      <c r="AJ33" s="1">
        <f t="shared" si="110"/>
        <v>20</v>
      </c>
      <c r="AK33" s="1">
        <f t="shared" si="110"/>
        <v>20.5</v>
      </c>
      <c r="AL33" s="1">
        <f t="shared" si="110"/>
        <v>21</v>
      </c>
      <c r="AM33" s="1">
        <f t="shared" si="110"/>
        <v>21.5</v>
      </c>
      <c r="AN33" s="1">
        <f t="shared" si="110"/>
        <v>22</v>
      </c>
      <c r="AO33" s="1">
        <f t="shared" si="110"/>
        <v>22.5</v>
      </c>
      <c r="AP33" s="1">
        <f t="shared" si="110"/>
        <v>23</v>
      </c>
      <c r="AQ33" s="1">
        <f t="shared" si="110"/>
        <v>23.5</v>
      </c>
      <c r="AR33" s="1">
        <f t="shared" si="110"/>
        <v>24</v>
      </c>
      <c r="AS33" s="1">
        <f t="shared" si="110"/>
        <v>24.5</v>
      </c>
      <c r="AT33" s="1">
        <f t="shared" si="110"/>
        <v>25</v>
      </c>
      <c r="AU33" s="1">
        <f t="shared" si="110"/>
        <v>25.5</v>
      </c>
      <c r="AV33" s="1">
        <f t="shared" si="110"/>
        <v>26</v>
      </c>
      <c r="AW33" s="1">
        <f t="shared" si="110"/>
        <v>26.5</v>
      </c>
      <c r="AX33" s="1">
        <f t="shared" si="110"/>
        <v>27</v>
      </c>
      <c r="AY33" s="1">
        <f t="shared" si="110"/>
        <v>27.5</v>
      </c>
      <c r="AZ33" s="1">
        <f t="shared" si="111"/>
        <v>28</v>
      </c>
      <c r="BA33" s="1">
        <f t="shared" si="111"/>
        <v>28.5</v>
      </c>
      <c r="BB33" s="1">
        <f t="shared" si="111"/>
        <v>29</v>
      </c>
      <c r="BC33" s="1">
        <f t="shared" si="111"/>
        <v>29.5</v>
      </c>
      <c r="BD33" s="1">
        <f t="shared" si="111"/>
        <v>30</v>
      </c>
      <c r="BE33" s="1">
        <f t="shared" si="111"/>
        <v>30.5</v>
      </c>
      <c r="BF33" s="1">
        <f t="shared" si="111"/>
        <v>31</v>
      </c>
      <c r="BG33" s="1">
        <f t="shared" si="111"/>
        <v>31.5</v>
      </c>
      <c r="BH33" s="1">
        <f t="shared" si="111"/>
        <v>32</v>
      </c>
      <c r="BI33" s="1">
        <f t="shared" si="111"/>
        <v>32.5</v>
      </c>
      <c r="BJ33" s="1">
        <f t="shared" si="111"/>
        <v>33</v>
      </c>
      <c r="BK33" s="1">
        <f t="shared" si="111"/>
        <v>33.5</v>
      </c>
      <c r="BL33" s="1">
        <f t="shared" si="111"/>
        <v>34</v>
      </c>
      <c r="BM33" s="1">
        <f t="shared" si="111"/>
        <v>34.5</v>
      </c>
      <c r="BN33" s="1">
        <f t="shared" si="111"/>
        <v>35</v>
      </c>
      <c r="BO33" s="1">
        <f t="shared" si="111"/>
        <v>35.5</v>
      </c>
      <c r="BP33" s="1">
        <f t="shared" si="108"/>
        <v>36</v>
      </c>
      <c r="BQ33" s="1">
        <f t="shared" si="105"/>
        <v>36.5</v>
      </c>
      <c r="BR33" s="1">
        <f t="shared" si="105"/>
        <v>37</v>
      </c>
      <c r="BS33" s="1">
        <f t="shared" si="105"/>
        <v>37.5</v>
      </c>
      <c r="BT33" s="1">
        <f t="shared" si="105"/>
        <v>38</v>
      </c>
      <c r="BU33" s="1">
        <f t="shared" si="105"/>
        <v>38.5</v>
      </c>
      <c r="BV33" s="1">
        <f t="shared" si="105"/>
        <v>39</v>
      </c>
      <c r="BW33" s="1">
        <f t="shared" si="105"/>
        <v>39.5</v>
      </c>
      <c r="BX33" s="1">
        <f t="shared" si="105"/>
        <v>40</v>
      </c>
      <c r="BY33" s="1">
        <f t="shared" si="105"/>
        <v>40.5</v>
      </c>
      <c r="BZ33" s="1">
        <f t="shared" si="105"/>
        <v>41</v>
      </c>
      <c r="CA33" s="1">
        <f t="shared" si="105"/>
        <v>41.5</v>
      </c>
      <c r="CB33" s="1">
        <f t="shared" si="105"/>
        <v>42</v>
      </c>
      <c r="CC33" s="1">
        <f t="shared" si="105"/>
        <v>42.5</v>
      </c>
      <c r="CD33" s="1">
        <f t="shared" si="105"/>
        <v>43</v>
      </c>
      <c r="CE33" s="1">
        <f t="shared" si="105"/>
        <v>43.5</v>
      </c>
      <c r="CF33" s="1">
        <f t="shared" si="105"/>
        <v>44</v>
      </c>
      <c r="CG33" s="1">
        <f t="shared" si="106"/>
        <v>44.5</v>
      </c>
      <c r="CH33" s="1">
        <f t="shared" si="106"/>
        <v>45</v>
      </c>
      <c r="CI33" s="1">
        <f t="shared" si="106"/>
        <v>45.5</v>
      </c>
      <c r="CJ33" s="1">
        <f t="shared" si="106"/>
        <v>46</v>
      </c>
      <c r="CK33" s="1">
        <f t="shared" si="106"/>
        <v>46.5</v>
      </c>
      <c r="CL33" s="1">
        <f t="shared" si="106"/>
        <v>47</v>
      </c>
      <c r="CM33" s="1">
        <f t="shared" si="106"/>
        <v>47.5</v>
      </c>
      <c r="CN33" s="1">
        <f t="shared" si="106"/>
        <v>48</v>
      </c>
      <c r="CO33" s="1">
        <f t="shared" si="106"/>
        <v>48.5</v>
      </c>
      <c r="CP33" s="1">
        <f t="shared" si="106"/>
        <v>49</v>
      </c>
      <c r="CQ33" s="1">
        <f t="shared" si="106"/>
        <v>49.5</v>
      </c>
      <c r="CR33" s="1">
        <f t="shared" si="106"/>
        <v>50</v>
      </c>
      <c r="CS33" s="1">
        <f t="shared" si="106"/>
        <v>50.5</v>
      </c>
      <c r="CT33" s="1">
        <f t="shared" si="106"/>
        <v>51</v>
      </c>
      <c r="CU33" s="1">
        <f t="shared" si="106"/>
        <v>51.5</v>
      </c>
      <c r="CV33" s="1">
        <f t="shared" si="106"/>
        <v>52</v>
      </c>
      <c r="CW33" s="1">
        <f t="shared" si="107"/>
        <v>52.5</v>
      </c>
      <c r="CX33" s="1">
        <f t="shared" si="107"/>
        <v>53</v>
      </c>
      <c r="CY33" s="1">
        <f t="shared" si="107"/>
        <v>53.5</v>
      </c>
      <c r="CZ33" s="1">
        <f t="shared" si="107"/>
        <v>54</v>
      </c>
      <c r="DA33" s="1">
        <f t="shared" si="107"/>
        <v>54.5</v>
      </c>
      <c r="DB33" s="1">
        <f t="shared" si="107"/>
        <v>55</v>
      </c>
      <c r="DC33" s="1">
        <f t="shared" si="107"/>
        <v>55.5</v>
      </c>
      <c r="DD33" s="1">
        <f t="shared" si="107"/>
        <v>56</v>
      </c>
      <c r="DE33" s="1">
        <f t="shared" si="107"/>
        <v>56.5</v>
      </c>
      <c r="DF33" s="1">
        <f t="shared" si="107"/>
        <v>57</v>
      </c>
      <c r="DG33" s="1">
        <f t="shared" si="107"/>
        <v>57.5</v>
      </c>
      <c r="DH33" s="1">
        <f t="shared" si="107"/>
        <v>58</v>
      </c>
      <c r="DI33" s="1">
        <f t="shared" si="107"/>
        <v>58.5</v>
      </c>
      <c r="DJ33" s="1">
        <f t="shared" si="107"/>
        <v>59</v>
      </c>
      <c r="DK33" s="1">
        <f t="shared" si="107"/>
        <v>59.5</v>
      </c>
      <c r="DL33" s="1">
        <f t="shared" si="107"/>
        <v>60</v>
      </c>
      <c r="DM33" s="1">
        <f t="shared" si="103"/>
        <v>60.5</v>
      </c>
      <c r="DN33" s="1">
        <f t="shared" si="103"/>
        <v>61</v>
      </c>
      <c r="DO33" s="1">
        <f t="shared" si="103"/>
        <v>61.5</v>
      </c>
      <c r="DP33" s="1">
        <f t="shared" si="104"/>
        <v>62</v>
      </c>
      <c r="DQ33" s="1">
        <f t="shared" si="104"/>
        <v>62.5</v>
      </c>
      <c r="DR33" s="1">
        <f t="shared" si="104"/>
        <v>63</v>
      </c>
      <c r="DS33" s="1">
        <f t="shared" si="104"/>
        <v>63.5</v>
      </c>
    </row>
    <row r="34" spans="1:123" x14ac:dyDescent="0.3">
      <c r="A34" s="81"/>
      <c r="B34" s="13" t="str">
        <f t="shared" si="99"/>
        <v>0x15</v>
      </c>
      <c r="C34" s="12">
        <f t="shared" si="101"/>
        <v>21</v>
      </c>
      <c r="D34" s="1">
        <f t="shared" si="100"/>
        <v>3.8095238095238093</v>
      </c>
      <c r="E34" s="1">
        <f t="shared" si="100"/>
        <v>4.2857142857142856</v>
      </c>
      <c r="F34" s="1">
        <f t="shared" si="100"/>
        <v>4.7619047619047619</v>
      </c>
      <c r="G34" s="1">
        <f t="shared" si="100"/>
        <v>5.2380952380952381</v>
      </c>
      <c r="H34" s="1">
        <f t="shared" si="100"/>
        <v>5.7142857142857144</v>
      </c>
      <c r="I34" s="1">
        <f t="shared" si="100"/>
        <v>6.1904761904761907</v>
      </c>
      <c r="J34" s="1">
        <f t="shared" si="100"/>
        <v>6.666666666666667</v>
      </c>
      <c r="K34" s="1">
        <f t="shared" si="100"/>
        <v>7.1428571428571432</v>
      </c>
      <c r="L34" s="1">
        <f t="shared" si="100"/>
        <v>7.6190476190476186</v>
      </c>
      <c r="M34" s="1">
        <f t="shared" si="100"/>
        <v>8.0952380952380949</v>
      </c>
      <c r="N34" s="1">
        <f t="shared" si="100"/>
        <v>8.5714285714285712</v>
      </c>
      <c r="O34" s="1">
        <f t="shared" si="100"/>
        <v>9.0476190476190474</v>
      </c>
      <c r="P34" s="1">
        <f t="shared" si="100"/>
        <v>9.5238095238095237</v>
      </c>
      <c r="Q34" s="1">
        <f t="shared" si="100"/>
        <v>10</v>
      </c>
      <c r="R34" s="1">
        <f t="shared" si="100"/>
        <v>10.476190476190476</v>
      </c>
      <c r="S34" s="1">
        <f t="shared" si="100"/>
        <v>10.952380952380953</v>
      </c>
      <c r="T34" s="1">
        <f t="shared" si="109"/>
        <v>11.428571428571429</v>
      </c>
      <c r="U34" s="1">
        <f t="shared" si="109"/>
        <v>11.904761904761905</v>
      </c>
      <c r="V34" s="1">
        <f t="shared" si="109"/>
        <v>12.380952380952381</v>
      </c>
      <c r="W34" s="1">
        <f t="shared" si="109"/>
        <v>12.857142857142858</v>
      </c>
      <c r="X34" s="1">
        <f t="shared" si="109"/>
        <v>13.333333333333334</v>
      </c>
      <c r="Y34" s="1">
        <f t="shared" si="109"/>
        <v>13.80952380952381</v>
      </c>
      <c r="Z34" s="1">
        <f t="shared" si="109"/>
        <v>14.285714285714286</v>
      </c>
      <c r="AA34" s="1">
        <f t="shared" si="109"/>
        <v>14.761904761904763</v>
      </c>
      <c r="AB34" s="1">
        <f t="shared" si="109"/>
        <v>15.238095238095237</v>
      </c>
      <c r="AC34" s="1">
        <f t="shared" si="109"/>
        <v>15.714285714285714</v>
      </c>
      <c r="AD34" s="1">
        <f t="shared" si="109"/>
        <v>16.19047619047619</v>
      </c>
      <c r="AE34" s="1">
        <f t="shared" si="109"/>
        <v>16.666666666666668</v>
      </c>
      <c r="AF34" s="1">
        <f t="shared" si="109"/>
        <v>17.142857142857142</v>
      </c>
      <c r="AG34" s="1">
        <f t="shared" si="109"/>
        <v>17.61904761904762</v>
      </c>
      <c r="AH34" s="1">
        <f t="shared" si="109"/>
        <v>18.095238095238095</v>
      </c>
      <c r="AI34" s="1">
        <f t="shared" si="109"/>
        <v>18.571428571428573</v>
      </c>
      <c r="AJ34" s="1">
        <f t="shared" si="110"/>
        <v>19.047619047619047</v>
      </c>
      <c r="AK34" s="1">
        <f t="shared" si="110"/>
        <v>19.523809523809526</v>
      </c>
      <c r="AL34" s="1">
        <f t="shared" si="110"/>
        <v>20</v>
      </c>
      <c r="AM34" s="1">
        <f t="shared" si="110"/>
        <v>20.476190476190474</v>
      </c>
      <c r="AN34" s="1">
        <f t="shared" si="110"/>
        <v>20.952380952380953</v>
      </c>
      <c r="AO34" s="1">
        <f t="shared" si="110"/>
        <v>21.428571428571427</v>
      </c>
      <c r="AP34" s="1">
        <f t="shared" si="110"/>
        <v>21.904761904761905</v>
      </c>
      <c r="AQ34" s="1">
        <f t="shared" si="110"/>
        <v>22.38095238095238</v>
      </c>
      <c r="AR34" s="1">
        <f t="shared" si="110"/>
        <v>22.857142857142858</v>
      </c>
      <c r="AS34" s="1">
        <f t="shared" si="110"/>
        <v>23.333333333333332</v>
      </c>
      <c r="AT34" s="1">
        <f t="shared" si="110"/>
        <v>23.80952380952381</v>
      </c>
      <c r="AU34" s="1">
        <f t="shared" si="110"/>
        <v>24.285714285714285</v>
      </c>
      <c r="AV34" s="1">
        <f t="shared" si="110"/>
        <v>24.761904761904763</v>
      </c>
      <c r="AW34" s="1">
        <f t="shared" si="110"/>
        <v>25.238095238095237</v>
      </c>
      <c r="AX34" s="1">
        <f t="shared" si="110"/>
        <v>25.714285714285715</v>
      </c>
      <c r="AY34" s="1">
        <f t="shared" si="110"/>
        <v>26.19047619047619</v>
      </c>
      <c r="AZ34" s="1">
        <f t="shared" si="111"/>
        <v>26.666666666666668</v>
      </c>
      <c r="BA34" s="1">
        <f t="shared" si="111"/>
        <v>27.142857142857142</v>
      </c>
      <c r="BB34" s="1">
        <f t="shared" si="111"/>
        <v>27.61904761904762</v>
      </c>
      <c r="BC34" s="1">
        <f t="shared" si="111"/>
        <v>28.095238095238095</v>
      </c>
      <c r="BD34" s="1">
        <f t="shared" si="111"/>
        <v>28.571428571428573</v>
      </c>
      <c r="BE34" s="1">
        <f t="shared" si="111"/>
        <v>29.047619047619047</v>
      </c>
      <c r="BF34" s="1">
        <f t="shared" si="111"/>
        <v>29.523809523809526</v>
      </c>
      <c r="BG34" s="1">
        <f t="shared" si="111"/>
        <v>30</v>
      </c>
      <c r="BH34" s="1">
        <f t="shared" si="111"/>
        <v>30.476190476190474</v>
      </c>
      <c r="BI34" s="1">
        <f t="shared" si="111"/>
        <v>30.952380952380953</v>
      </c>
      <c r="BJ34" s="1">
        <f t="shared" si="111"/>
        <v>31.428571428571427</v>
      </c>
      <c r="BK34" s="1">
        <f t="shared" si="111"/>
        <v>31.904761904761905</v>
      </c>
      <c r="BL34" s="1">
        <f t="shared" si="111"/>
        <v>32.38095238095238</v>
      </c>
      <c r="BM34" s="1">
        <f t="shared" si="111"/>
        <v>32.857142857142854</v>
      </c>
      <c r="BN34" s="1">
        <f t="shared" si="111"/>
        <v>33.333333333333336</v>
      </c>
      <c r="BO34" s="1">
        <f t="shared" si="111"/>
        <v>33.80952380952381</v>
      </c>
      <c r="BP34" s="1">
        <f t="shared" si="108"/>
        <v>34.285714285714285</v>
      </c>
      <c r="BQ34" s="1">
        <f t="shared" si="105"/>
        <v>34.761904761904759</v>
      </c>
      <c r="BR34" s="1">
        <f t="shared" si="105"/>
        <v>35.238095238095241</v>
      </c>
      <c r="BS34" s="1">
        <f t="shared" si="105"/>
        <v>35.714285714285715</v>
      </c>
      <c r="BT34" s="1">
        <f t="shared" si="105"/>
        <v>36.19047619047619</v>
      </c>
      <c r="BU34" s="1">
        <f t="shared" si="105"/>
        <v>36.666666666666664</v>
      </c>
      <c r="BV34" s="1">
        <f t="shared" si="105"/>
        <v>37.142857142857146</v>
      </c>
      <c r="BW34" s="1">
        <f t="shared" si="105"/>
        <v>37.61904761904762</v>
      </c>
      <c r="BX34" s="1">
        <f t="shared" si="105"/>
        <v>38.095238095238095</v>
      </c>
      <c r="BY34" s="1">
        <f t="shared" si="105"/>
        <v>38.571428571428569</v>
      </c>
      <c r="BZ34" s="1">
        <f t="shared" si="105"/>
        <v>39.047619047619051</v>
      </c>
      <c r="CA34" s="1">
        <f t="shared" si="105"/>
        <v>39.523809523809526</v>
      </c>
      <c r="CB34" s="1">
        <f t="shared" si="105"/>
        <v>40</v>
      </c>
      <c r="CC34" s="1">
        <f t="shared" si="105"/>
        <v>40.476190476190474</v>
      </c>
      <c r="CD34" s="1">
        <f t="shared" si="105"/>
        <v>40.952380952380949</v>
      </c>
      <c r="CE34" s="1">
        <f t="shared" si="105"/>
        <v>41.428571428571431</v>
      </c>
      <c r="CF34" s="1">
        <f t="shared" ref="CF34:CU49" si="112">IF($U$3=0,0,($U$2*CF$13)/($C34*$U$3))</f>
        <v>41.904761904761905</v>
      </c>
      <c r="CG34" s="1">
        <f t="shared" si="112"/>
        <v>42.38095238095238</v>
      </c>
      <c r="CH34" s="1">
        <f t="shared" si="112"/>
        <v>42.857142857142854</v>
      </c>
      <c r="CI34" s="1">
        <f t="shared" si="112"/>
        <v>43.333333333333336</v>
      </c>
      <c r="CJ34" s="1">
        <f t="shared" si="112"/>
        <v>43.80952380952381</v>
      </c>
      <c r="CK34" s="1">
        <f t="shared" si="112"/>
        <v>44.285714285714285</v>
      </c>
      <c r="CL34" s="1">
        <f t="shared" si="112"/>
        <v>44.761904761904759</v>
      </c>
      <c r="CM34" s="1">
        <f t="shared" si="112"/>
        <v>45.238095238095241</v>
      </c>
      <c r="CN34" s="1">
        <f t="shared" si="112"/>
        <v>45.714285714285715</v>
      </c>
      <c r="CO34" s="1">
        <f t="shared" si="112"/>
        <v>46.19047619047619</v>
      </c>
      <c r="CP34" s="1">
        <f t="shared" si="112"/>
        <v>46.666666666666664</v>
      </c>
      <c r="CQ34" s="1">
        <f t="shared" si="112"/>
        <v>47.142857142857146</v>
      </c>
      <c r="CR34" s="1">
        <f t="shared" si="112"/>
        <v>47.61904761904762</v>
      </c>
      <c r="CS34" s="1">
        <f t="shared" si="112"/>
        <v>48.095238095238095</v>
      </c>
      <c r="CT34" s="1">
        <f t="shared" si="112"/>
        <v>48.571428571428569</v>
      </c>
      <c r="CU34" s="1">
        <f t="shared" si="112"/>
        <v>49.047619047619051</v>
      </c>
      <c r="CV34" s="1">
        <f t="shared" si="106"/>
        <v>49.523809523809526</v>
      </c>
      <c r="CW34" s="1">
        <f t="shared" si="107"/>
        <v>50</v>
      </c>
      <c r="CX34" s="1">
        <f t="shared" si="107"/>
        <v>50.476190476190474</v>
      </c>
      <c r="CY34" s="1">
        <f t="shared" si="107"/>
        <v>50.952380952380949</v>
      </c>
      <c r="CZ34" s="1">
        <f t="shared" si="107"/>
        <v>51.428571428571431</v>
      </c>
      <c r="DA34" s="1">
        <f t="shared" si="107"/>
        <v>51.904761904761905</v>
      </c>
      <c r="DB34" s="1">
        <f t="shared" si="107"/>
        <v>52.38095238095238</v>
      </c>
      <c r="DC34" s="1">
        <f t="shared" si="107"/>
        <v>52.857142857142854</v>
      </c>
      <c r="DD34" s="1">
        <f t="shared" si="107"/>
        <v>53.333333333333336</v>
      </c>
      <c r="DE34" s="1">
        <f t="shared" si="107"/>
        <v>53.80952380952381</v>
      </c>
      <c r="DF34" s="1">
        <f t="shared" si="107"/>
        <v>54.285714285714285</v>
      </c>
      <c r="DG34" s="1">
        <f t="shared" si="107"/>
        <v>54.761904761904759</v>
      </c>
      <c r="DH34" s="1">
        <f t="shared" si="107"/>
        <v>55.238095238095241</v>
      </c>
      <c r="DI34" s="1">
        <f t="shared" si="107"/>
        <v>55.714285714285715</v>
      </c>
      <c r="DJ34" s="1">
        <f t="shared" si="107"/>
        <v>56.19047619047619</v>
      </c>
      <c r="DK34" s="1">
        <f t="shared" si="107"/>
        <v>56.666666666666664</v>
      </c>
      <c r="DL34" s="1">
        <f t="shared" ref="DL34:DS70" si="113">IF($U$3=0,0,($U$2*DL$13)/($C34*$U$3))</f>
        <v>57.142857142857146</v>
      </c>
      <c r="DM34" s="1">
        <f t="shared" si="113"/>
        <v>57.61904761904762</v>
      </c>
      <c r="DN34" s="1">
        <f t="shared" si="113"/>
        <v>58.095238095238095</v>
      </c>
      <c r="DO34" s="1">
        <f t="shared" si="113"/>
        <v>58.571428571428569</v>
      </c>
      <c r="DP34" s="1">
        <f t="shared" si="113"/>
        <v>59.047619047619051</v>
      </c>
      <c r="DQ34" s="1">
        <f t="shared" si="113"/>
        <v>59.523809523809526</v>
      </c>
      <c r="DR34" s="1">
        <f t="shared" si="113"/>
        <v>60</v>
      </c>
      <c r="DS34" s="1">
        <f t="shared" si="113"/>
        <v>60.476190476190474</v>
      </c>
    </row>
    <row r="35" spans="1:123" x14ac:dyDescent="0.3">
      <c r="A35" s="81"/>
      <c r="B35" s="13" t="str">
        <f t="shared" si="99"/>
        <v>0x16</v>
      </c>
      <c r="C35" s="12">
        <f t="shared" si="101"/>
        <v>22</v>
      </c>
      <c r="D35" s="1">
        <f t="shared" si="100"/>
        <v>3.6363636363636362</v>
      </c>
      <c r="E35" s="1">
        <f t="shared" si="100"/>
        <v>4.0909090909090908</v>
      </c>
      <c r="F35" s="1">
        <f t="shared" si="100"/>
        <v>4.5454545454545459</v>
      </c>
      <c r="G35" s="1">
        <f t="shared" si="100"/>
        <v>5</v>
      </c>
      <c r="H35" s="1">
        <f t="shared" si="100"/>
        <v>5.4545454545454541</v>
      </c>
      <c r="I35" s="1">
        <f t="shared" si="100"/>
        <v>5.9090909090909092</v>
      </c>
      <c r="J35" s="1">
        <f t="shared" si="100"/>
        <v>6.3636363636363633</v>
      </c>
      <c r="K35" s="1">
        <f t="shared" si="100"/>
        <v>6.8181818181818183</v>
      </c>
      <c r="L35" s="1">
        <f t="shared" si="100"/>
        <v>7.2727272727272725</v>
      </c>
      <c r="M35" s="1">
        <f t="shared" si="100"/>
        <v>7.7272727272727275</v>
      </c>
      <c r="N35" s="1">
        <f t="shared" si="100"/>
        <v>8.1818181818181817</v>
      </c>
      <c r="O35" s="1">
        <f t="shared" si="100"/>
        <v>8.6363636363636367</v>
      </c>
      <c r="P35" s="1">
        <f t="shared" si="100"/>
        <v>9.0909090909090917</v>
      </c>
      <c r="Q35" s="1">
        <f t="shared" si="100"/>
        <v>9.545454545454545</v>
      </c>
      <c r="R35" s="1">
        <f t="shared" si="100"/>
        <v>10</v>
      </c>
      <c r="S35" s="1">
        <f t="shared" si="100"/>
        <v>10.454545454545455</v>
      </c>
      <c r="T35" s="1">
        <f t="shared" si="109"/>
        <v>10.909090909090908</v>
      </c>
      <c r="U35" s="1">
        <f t="shared" si="109"/>
        <v>11.363636363636363</v>
      </c>
      <c r="V35" s="1">
        <f t="shared" si="109"/>
        <v>11.818181818181818</v>
      </c>
      <c r="W35" s="1">
        <f t="shared" si="109"/>
        <v>12.272727272727273</v>
      </c>
      <c r="X35" s="1">
        <f t="shared" si="109"/>
        <v>12.727272727272727</v>
      </c>
      <c r="Y35" s="1">
        <f t="shared" si="109"/>
        <v>13.181818181818182</v>
      </c>
      <c r="Z35" s="1">
        <f t="shared" si="109"/>
        <v>13.636363636363637</v>
      </c>
      <c r="AA35" s="1">
        <f t="shared" si="109"/>
        <v>14.090909090909092</v>
      </c>
      <c r="AB35" s="1">
        <f t="shared" si="109"/>
        <v>14.545454545454545</v>
      </c>
      <c r="AC35" s="1">
        <f t="shared" si="109"/>
        <v>15</v>
      </c>
      <c r="AD35" s="1">
        <f t="shared" si="109"/>
        <v>15.454545454545455</v>
      </c>
      <c r="AE35" s="1">
        <f t="shared" si="109"/>
        <v>15.909090909090908</v>
      </c>
      <c r="AF35" s="1">
        <f t="shared" si="109"/>
        <v>16.363636363636363</v>
      </c>
      <c r="AG35" s="1">
        <f t="shared" si="109"/>
        <v>16.818181818181817</v>
      </c>
      <c r="AH35" s="1">
        <f t="shared" si="109"/>
        <v>17.272727272727273</v>
      </c>
      <c r="AI35" s="1">
        <f t="shared" si="109"/>
        <v>17.727272727272727</v>
      </c>
      <c r="AJ35" s="1">
        <f t="shared" si="110"/>
        <v>18.181818181818183</v>
      </c>
      <c r="AK35" s="1">
        <f t="shared" si="110"/>
        <v>18.636363636363637</v>
      </c>
      <c r="AL35" s="1">
        <f t="shared" si="110"/>
        <v>19.09090909090909</v>
      </c>
      <c r="AM35" s="1">
        <f t="shared" si="110"/>
        <v>19.545454545454547</v>
      </c>
      <c r="AN35" s="1">
        <f t="shared" si="110"/>
        <v>20</v>
      </c>
      <c r="AO35" s="1">
        <f t="shared" si="110"/>
        <v>20.454545454545453</v>
      </c>
      <c r="AP35" s="1">
        <f t="shared" si="110"/>
        <v>20.90909090909091</v>
      </c>
      <c r="AQ35" s="1">
        <f t="shared" si="110"/>
        <v>21.363636363636363</v>
      </c>
      <c r="AR35" s="1">
        <f t="shared" si="110"/>
        <v>21.818181818181817</v>
      </c>
      <c r="AS35" s="1">
        <f t="shared" si="110"/>
        <v>22.272727272727273</v>
      </c>
      <c r="AT35" s="1">
        <f t="shared" si="110"/>
        <v>22.727272727272727</v>
      </c>
      <c r="AU35" s="1">
        <f t="shared" si="110"/>
        <v>23.181818181818183</v>
      </c>
      <c r="AV35" s="1">
        <f t="shared" si="110"/>
        <v>23.636363636363637</v>
      </c>
      <c r="AW35" s="1">
        <f t="shared" si="110"/>
        <v>24.09090909090909</v>
      </c>
      <c r="AX35" s="1">
        <f t="shared" si="110"/>
        <v>24.545454545454547</v>
      </c>
      <c r="AY35" s="1">
        <f t="shared" si="110"/>
        <v>25</v>
      </c>
      <c r="AZ35" s="1">
        <f t="shared" si="111"/>
        <v>25.454545454545453</v>
      </c>
      <c r="BA35" s="1">
        <f t="shared" si="111"/>
        <v>25.90909090909091</v>
      </c>
      <c r="BB35" s="1">
        <f t="shared" si="111"/>
        <v>26.363636363636363</v>
      </c>
      <c r="BC35" s="1">
        <f t="shared" si="111"/>
        <v>26.818181818181817</v>
      </c>
      <c r="BD35" s="1">
        <f t="shared" si="111"/>
        <v>27.272727272727273</v>
      </c>
      <c r="BE35" s="1">
        <f t="shared" si="111"/>
        <v>27.727272727272727</v>
      </c>
      <c r="BF35" s="1">
        <f t="shared" si="111"/>
        <v>28.181818181818183</v>
      </c>
      <c r="BG35" s="1">
        <f t="shared" si="111"/>
        <v>28.636363636363637</v>
      </c>
      <c r="BH35" s="1">
        <f t="shared" si="111"/>
        <v>29.09090909090909</v>
      </c>
      <c r="BI35" s="1">
        <f t="shared" si="111"/>
        <v>29.545454545454547</v>
      </c>
      <c r="BJ35" s="1">
        <f t="shared" si="111"/>
        <v>30</v>
      </c>
      <c r="BK35" s="1">
        <f t="shared" si="111"/>
        <v>30.454545454545453</v>
      </c>
      <c r="BL35" s="1">
        <f t="shared" si="111"/>
        <v>30.90909090909091</v>
      </c>
      <c r="BM35" s="1">
        <f t="shared" si="111"/>
        <v>31.363636363636363</v>
      </c>
      <c r="BN35" s="1">
        <f t="shared" si="111"/>
        <v>31.818181818181817</v>
      </c>
      <c r="BO35" s="1">
        <f t="shared" si="111"/>
        <v>32.272727272727273</v>
      </c>
      <c r="BP35" s="1">
        <f t="shared" si="108"/>
        <v>32.727272727272727</v>
      </c>
      <c r="BQ35" s="1">
        <f t="shared" si="108"/>
        <v>33.18181818181818</v>
      </c>
      <c r="BR35" s="1">
        <f t="shared" si="108"/>
        <v>33.636363636363633</v>
      </c>
      <c r="BS35" s="1">
        <f t="shared" si="108"/>
        <v>34.090909090909093</v>
      </c>
      <c r="BT35" s="1">
        <f t="shared" si="108"/>
        <v>34.545454545454547</v>
      </c>
      <c r="BU35" s="1">
        <f t="shared" si="108"/>
        <v>35</v>
      </c>
      <c r="BV35" s="1">
        <f t="shared" si="108"/>
        <v>35.454545454545453</v>
      </c>
      <c r="BW35" s="1">
        <f t="shared" si="108"/>
        <v>35.909090909090907</v>
      </c>
      <c r="BX35" s="1">
        <f t="shared" si="108"/>
        <v>36.363636363636367</v>
      </c>
      <c r="BY35" s="1">
        <f t="shared" si="108"/>
        <v>36.81818181818182</v>
      </c>
      <c r="BZ35" s="1">
        <f t="shared" si="108"/>
        <v>37.272727272727273</v>
      </c>
      <c r="CA35" s="1">
        <f t="shared" si="108"/>
        <v>37.727272727272727</v>
      </c>
      <c r="CB35" s="1">
        <f t="shared" si="108"/>
        <v>38.18181818181818</v>
      </c>
      <c r="CC35" s="1">
        <f t="shared" si="108"/>
        <v>38.636363636363633</v>
      </c>
      <c r="CD35" s="1">
        <f t="shared" si="108"/>
        <v>39.090909090909093</v>
      </c>
      <c r="CE35" s="1">
        <f t="shared" ref="CE35:CT50" si="114">IF($U$3=0,0,($U$2*CE$13)/($C35*$U$3))</f>
        <v>39.545454545454547</v>
      </c>
      <c r="CF35" s="1">
        <f t="shared" si="114"/>
        <v>40</v>
      </c>
      <c r="CG35" s="1">
        <f t="shared" si="114"/>
        <v>40.454545454545453</v>
      </c>
      <c r="CH35" s="1">
        <f t="shared" si="114"/>
        <v>40.909090909090907</v>
      </c>
      <c r="CI35" s="1">
        <f t="shared" si="114"/>
        <v>41.363636363636367</v>
      </c>
      <c r="CJ35" s="1">
        <f t="shared" si="114"/>
        <v>41.81818181818182</v>
      </c>
      <c r="CK35" s="1">
        <f t="shared" si="114"/>
        <v>42.272727272727273</v>
      </c>
      <c r="CL35" s="1">
        <f t="shared" si="114"/>
        <v>42.727272727272727</v>
      </c>
      <c r="CM35" s="1">
        <f t="shared" si="114"/>
        <v>43.18181818181818</v>
      </c>
      <c r="CN35" s="1">
        <f t="shared" si="114"/>
        <v>43.636363636363633</v>
      </c>
      <c r="CO35" s="1">
        <f t="shared" si="114"/>
        <v>44.090909090909093</v>
      </c>
      <c r="CP35" s="1">
        <f t="shared" si="114"/>
        <v>44.545454545454547</v>
      </c>
      <c r="CQ35" s="1">
        <f t="shared" si="114"/>
        <v>45</v>
      </c>
      <c r="CR35" s="1">
        <f t="shared" si="114"/>
        <v>45.454545454545453</v>
      </c>
      <c r="CS35" s="1">
        <f t="shared" si="114"/>
        <v>45.909090909090907</v>
      </c>
      <c r="CT35" s="1">
        <f t="shared" si="114"/>
        <v>46.363636363636367</v>
      </c>
      <c r="CU35" s="1">
        <f t="shared" si="112"/>
        <v>46.81818181818182</v>
      </c>
      <c r="CV35" s="1">
        <f t="shared" si="106"/>
        <v>47.272727272727273</v>
      </c>
      <c r="CW35" s="1">
        <f t="shared" ref="CW35:DL76" si="115">IF($U$3=0,0,($U$2*CW$13)/($C35*$U$3))</f>
        <v>47.727272727272727</v>
      </c>
      <c r="CX35" s="1">
        <f t="shared" si="115"/>
        <v>48.18181818181818</v>
      </c>
      <c r="CY35" s="1">
        <f t="shared" si="115"/>
        <v>48.636363636363633</v>
      </c>
      <c r="CZ35" s="1">
        <f t="shared" si="115"/>
        <v>49.090909090909093</v>
      </c>
      <c r="DA35" s="1">
        <f t="shared" si="115"/>
        <v>49.545454545454547</v>
      </c>
      <c r="DB35" s="1">
        <f t="shared" si="115"/>
        <v>50</v>
      </c>
      <c r="DC35" s="1">
        <f t="shared" si="115"/>
        <v>50.454545454545453</v>
      </c>
      <c r="DD35" s="1">
        <f t="shared" si="115"/>
        <v>50.909090909090907</v>
      </c>
      <c r="DE35" s="1">
        <f t="shared" si="115"/>
        <v>51.363636363636367</v>
      </c>
      <c r="DF35" s="1">
        <f t="shared" si="115"/>
        <v>51.81818181818182</v>
      </c>
      <c r="DG35" s="1">
        <f t="shared" si="115"/>
        <v>52.272727272727273</v>
      </c>
      <c r="DH35" s="1">
        <f t="shared" si="115"/>
        <v>52.727272727272727</v>
      </c>
      <c r="DI35" s="1">
        <f t="shared" si="115"/>
        <v>53.18181818181818</v>
      </c>
      <c r="DJ35" s="1">
        <f t="shared" si="115"/>
        <v>53.636363636363633</v>
      </c>
      <c r="DK35" s="1">
        <f t="shared" si="115"/>
        <v>54.090909090909093</v>
      </c>
      <c r="DL35" s="1">
        <f t="shared" si="115"/>
        <v>54.545454545454547</v>
      </c>
      <c r="DM35" s="1">
        <f t="shared" si="113"/>
        <v>55</v>
      </c>
      <c r="DN35" s="1">
        <f t="shared" si="113"/>
        <v>55.454545454545453</v>
      </c>
      <c r="DO35" s="1">
        <f t="shared" si="113"/>
        <v>55.909090909090907</v>
      </c>
      <c r="DP35" s="1">
        <f t="shared" si="113"/>
        <v>56.363636363636367</v>
      </c>
      <c r="DQ35" s="1">
        <f t="shared" si="113"/>
        <v>56.81818181818182</v>
      </c>
      <c r="DR35" s="1">
        <f t="shared" si="113"/>
        <v>57.272727272727273</v>
      </c>
      <c r="DS35" s="1">
        <f t="shared" si="113"/>
        <v>57.727272727272727</v>
      </c>
    </row>
    <row r="36" spans="1:123" x14ac:dyDescent="0.3">
      <c r="A36" s="81"/>
      <c r="B36" s="13" t="str">
        <f t="shared" si="99"/>
        <v>0x17</v>
      </c>
      <c r="C36" s="12">
        <f t="shared" si="101"/>
        <v>23</v>
      </c>
      <c r="D36" s="1">
        <f t="shared" si="100"/>
        <v>3.4782608695652173</v>
      </c>
      <c r="E36" s="1">
        <f t="shared" si="100"/>
        <v>3.9130434782608696</v>
      </c>
      <c r="F36" s="1">
        <f t="shared" si="100"/>
        <v>4.3478260869565215</v>
      </c>
      <c r="G36" s="1">
        <f t="shared" si="100"/>
        <v>4.7826086956521738</v>
      </c>
      <c r="H36" s="1">
        <f t="shared" si="100"/>
        <v>5.2173913043478262</v>
      </c>
      <c r="I36" s="1">
        <f t="shared" si="100"/>
        <v>5.6521739130434785</v>
      </c>
      <c r="J36" s="1">
        <f t="shared" si="100"/>
        <v>6.0869565217391308</v>
      </c>
      <c r="K36" s="1">
        <f t="shared" si="100"/>
        <v>6.5217391304347823</v>
      </c>
      <c r="L36" s="1">
        <f t="shared" si="100"/>
        <v>6.9565217391304346</v>
      </c>
      <c r="M36" s="1">
        <f t="shared" si="100"/>
        <v>7.3913043478260869</v>
      </c>
      <c r="N36" s="1">
        <f t="shared" si="100"/>
        <v>7.8260869565217392</v>
      </c>
      <c r="O36" s="1">
        <f t="shared" si="100"/>
        <v>8.2608695652173907</v>
      </c>
      <c r="P36" s="1">
        <f t="shared" si="100"/>
        <v>8.695652173913043</v>
      </c>
      <c r="Q36" s="1">
        <f t="shared" si="100"/>
        <v>9.1304347826086953</v>
      </c>
      <c r="R36" s="1">
        <f t="shared" si="100"/>
        <v>9.5652173913043477</v>
      </c>
      <c r="S36" s="1">
        <f t="shared" si="100"/>
        <v>10</v>
      </c>
      <c r="T36" s="1">
        <f t="shared" si="109"/>
        <v>10.434782608695652</v>
      </c>
      <c r="U36" s="1">
        <f t="shared" si="109"/>
        <v>10.869565217391305</v>
      </c>
      <c r="V36" s="1">
        <f t="shared" si="109"/>
        <v>11.304347826086957</v>
      </c>
      <c r="W36" s="1">
        <f t="shared" si="109"/>
        <v>11.739130434782609</v>
      </c>
      <c r="X36" s="1">
        <f t="shared" si="109"/>
        <v>12.173913043478262</v>
      </c>
      <c r="Y36" s="1">
        <f t="shared" si="109"/>
        <v>12.608695652173912</v>
      </c>
      <c r="Z36" s="1">
        <f t="shared" si="109"/>
        <v>13.043478260869565</v>
      </c>
      <c r="AA36" s="1">
        <f t="shared" si="109"/>
        <v>13.478260869565217</v>
      </c>
      <c r="AB36" s="1">
        <f t="shared" si="109"/>
        <v>13.913043478260869</v>
      </c>
      <c r="AC36" s="1">
        <f t="shared" si="109"/>
        <v>14.347826086956522</v>
      </c>
      <c r="AD36" s="1">
        <f t="shared" si="109"/>
        <v>14.782608695652174</v>
      </c>
      <c r="AE36" s="1">
        <f t="shared" si="109"/>
        <v>15.217391304347826</v>
      </c>
      <c r="AF36" s="1">
        <f t="shared" si="109"/>
        <v>15.652173913043478</v>
      </c>
      <c r="AG36" s="1">
        <f t="shared" si="109"/>
        <v>16.086956521739129</v>
      </c>
      <c r="AH36" s="1">
        <f t="shared" si="109"/>
        <v>16.521739130434781</v>
      </c>
      <c r="AI36" s="1">
        <f t="shared" si="109"/>
        <v>16.956521739130434</v>
      </c>
      <c r="AJ36" s="1">
        <f t="shared" si="110"/>
        <v>17.391304347826086</v>
      </c>
      <c r="AK36" s="1">
        <f t="shared" si="110"/>
        <v>17.826086956521738</v>
      </c>
      <c r="AL36" s="1">
        <f t="shared" si="110"/>
        <v>18.260869565217391</v>
      </c>
      <c r="AM36" s="1">
        <f t="shared" si="110"/>
        <v>18.695652173913043</v>
      </c>
      <c r="AN36" s="1">
        <f t="shared" si="110"/>
        <v>19.130434782608695</v>
      </c>
      <c r="AO36" s="1">
        <f t="shared" si="110"/>
        <v>19.565217391304348</v>
      </c>
      <c r="AP36" s="1">
        <f t="shared" si="110"/>
        <v>20</v>
      </c>
      <c r="AQ36" s="1">
        <f t="shared" si="110"/>
        <v>20.434782608695652</v>
      </c>
      <c r="AR36" s="1">
        <f t="shared" si="110"/>
        <v>20.869565217391305</v>
      </c>
      <c r="AS36" s="1">
        <f t="shared" si="110"/>
        <v>21.304347826086957</v>
      </c>
      <c r="AT36" s="1">
        <f t="shared" si="110"/>
        <v>21.739130434782609</v>
      </c>
      <c r="AU36" s="1">
        <f t="shared" si="110"/>
        <v>22.173913043478262</v>
      </c>
      <c r="AV36" s="1">
        <f t="shared" si="110"/>
        <v>22.608695652173914</v>
      </c>
      <c r="AW36" s="1">
        <f t="shared" si="110"/>
        <v>23.043478260869566</v>
      </c>
      <c r="AX36" s="1">
        <f t="shared" si="110"/>
        <v>23.478260869565219</v>
      </c>
      <c r="AY36" s="1">
        <f t="shared" si="110"/>
        <v>23.913043478260871</v>
      </c>
      <c r="AZ36" s="1">
        <f t="shared" si="111"/>
        <v>24.347826086956523</v>
      </c>
      <c r="BA36" s="1">
        <f t="shared" si="111"/>
        <v>24.782608695652176</v>
      </c>
      <c r="BB36" s="1">
        <f t="shared" si="111"/>
        <v>25.217391304347824</v>
      </c>
      <c r="BC36" s="1">
        <f t="shared" si="111"/>
        <v>25.652173913043477</v>
      </c>
      <c r="BD36" s="1">
        <f t="shared" si="111"/>
        <v>26.086956521739129</v>
      </c>
      <c r="BE36" s="1">
        <f t="shared" si="111"/>
        <v>26.521739130434781</v>
      </c>
      <c r="BF36" s="1">
        <f t="shared" si="111"/>
        <v>26.956521739130434</v>
      </c>
      <c r="BG36" s="1">
        <f t="shared" si="111"/>
        <v>27.391304347826086</v>
      </c>
      <c r="BH36" s="1">
        <f t="shared" si="111"/>
        <v>27.826086956521738</v>
      </c>
      <c r="BI36" s="1">
        <f t="shared" si="111"/>
        <v>28.260869565217391</v>
      </c>
      <c r="BJ36" s="1">
        <f t="shared" si="111"/>
        <v>28.695652173913043</v>
      </c>
      <c r="BK36" s="1">
        <f t="shared" si="111"/>
        <v>29.130434782608695</v>
      </c>
      <c r="BL36" s="1">
        <f t="shared" si="111"/>
        <v>29.565217391304348</v>
      </c>
      <c r="BM36" s="1">
        <f t="shared" si="111"/>
        <v>30</v>
      </c>
      <c r="BN36" s="1">
        <f t="shared" si="111"/>
        <v>30.434782608695652</v>
      </c>
      <c r="BO36" s="1">
        <f t="shared" si="111"/>
        <v>30.869565217391305</v>
      </c>
      <c r="BP36" s="1">
        <f t="shared" si="108"/>
        <v>31.304347826086957</v>
      </c>
      <c r="BQ36" s="1">
        <f t="shared" si="108"/>
        <v>31.739130434782609</v>
      </c>
      <c r="BR36" s="1">
        <f t="shared" si="108"/>
        <v>32.173913043478258</v>
      </c>
      <c r="BS36" s="1">
        <f t="shared" si="108"/>
        <v>32.608695652173914</v>
      </c>
      <c r="BT36" s="1">
        <f t="shared" si="108"/>
        <v>33.043478260869563</v>
      </c>
      <c r="BU36" s="1">
        <f t="shared" si="108"/>
        <v>33.478260869565219</v>
      </c>
      <c r="BV36" s="1">
        <f t="shared" si="108"/>
        <v>33.913043478260867</v>
      </c>
      <c r="BW36" s="1">
        <f t="shared" si="108"/>
        <v>34.347826086956523</v>
      </c>
      <c r="BX36" s="1">
        <f t="shared" si="108"/>
        <v>34.782608695652172</v>
      </c>
      <c r="BY36" s="1">
        <f t="shared" si="108"/>
        <v>35.217391304347828</v>
      </c>
      <c r="BZ36" s="1">
        <f t="shared" si="108"/>
        <v>35.652173913043477</v>
      </c>
      <c r="CA36" s="1">
        <f t="shared" si="108"/>
        <v>36.086956521739133</v>
      </c>
      <c r="CB36" s="1">
        <f t="shared" si="108"/>
        <v>36.521739130434781</v>
      </c>
      <c r="CC36" s="1">
        <f t="shared" si="108"/>
        <v>36.956521739130437</v>
      </c>
      <c r="CD36" s="1">
        <f t="shared" si="108"/>
        <v>37.391304347826086</v>
      </c>
      <c r="CE36" s="1">
        <f t="shared" si="114"/>
        <v>37.826086956521742</v>
      </c>
      <c r="CF36" s="1">
        <f t="shared" si="114"/>
        <v>38.260869565217391</v>
      </c>
      <c r="CG36" s="1">
        <f t="shared" si="114"/>
        <v>38.695652173913047</v>
      </c>
      <c r="CH36" s="1">
        <f t="shared" si="114"/>
        <v>39.130434782608695</v>
      </c>
      <c r="CI36" s="1">
        <f t="shared" si="114"/>
        <v>39.565217391304351</v>
      </c>
      <c r="CJ36" s="1">
        <f t="shared" si="114"/>
        <v>40</v>
      </c>
      <c r="CK36" s="1">
        <f t="shared" si="114"/>
        <v>40.434782608695649</v>
      </c>
      <c r="CL36" s="1">
        <f t="shared" si="114"/>
        <v>40.869565217391305</v>
      </c>
      <c r="CM36" s="1">
        <f t="shared" si="114"/>
        <v>41.304347826086953</v>
      </c>
      <c r="CN36" s="1">
        <f t="shared" si="114"/>
        <v>41.739130434782609</v>
      </c>
      <c r="CO36" s="1">
        <f t="shared" si="114"/>
        <v>42.173913043478258</v>
      </c>
      <c r="CP36" s="1">
        <f t="shared" si="114"/>
        <v>42.608695652173914</v>
      </c>
      <c r="CQ36" s="1">
        <f t="shared" si="114"/>
        <v>43.043478260869563</v>
      </c>
      <c r="CR36" s="1">
        <f t="shared" si="114"/>
        <v>43.478260869565219</v>
      </c>
      <c r="CS36" s="1">
        <f t="shared" si="114"/>
        <v>43.913043478260867</v>
      </c>
      <c r="CT36" s="1">
        <f t="shared" si="114"/>
        <v>44.347826086956523</v>
      </c>
      <c r="CU36" s="1">
        <f t="shared" si="112"/>
        <v>44.782608695652172</v>
      </c>
      <c r="CV36" s="1">
        <f t="shared" si="106"/>
        <v>45.217391304347828</v>
      </c>
      <c r="CW36" s="1">
        <f t="shared" si="115"/>
        <v>45.652173913043477</v>
      </c>
      <c r="CX36" s="1">
        <f t="shared" si="115"/>
        <v>46.086956521739133</v>
      </c>
      <c r="CY36" s="1">
        <f t="shared" si="115"/>
        <v>46.521739130434781</v>
      </c>
      <c r="CZ36" s="1">
        <f t="shared" si="115"/>
        <v>46.956521739130437</v>
      </c>
      <c r="DA36" s="1">
        <f t="shared" si="115"/>
        <v>47.391304347826086</v>
      </c>
      <c r="DB36" s="1">
        <f t="shared" si="115"/>
        <v>47.826086956521742</v>
      </c>
      <c r="DC36" s="1">
        <f t="shared" si="115"/>
        <v>48.260869565217391</v>
      </c>
      <c r="DD36" s="1">
        <f t="shared" si="115"/>
        <v>48.695652173913047</v>
      </c>
      <c r="DE36" s="1">
        <f t="shared" si="115"/>
        <v>49.130434782608695</v>
      </c>
      <c r="DF36" s="1">
        <f t="shared" si="115"/>
        <v>49.565217391304351</v>
      </c>
      <c r="DG36" s="1">
        <f t="shared" si="115"/>
        <v>50</v>
      </c>
      <c r="DH36" s="1">
        <f t="shared" si="115"/>
        <v>50.434782608695649</v>
      </c>
      <c r="DI36" s="1">
        <f t="shared" si="115"/>
        <v>50.869565217391305</v>
      </c>
      <c r="DJ36" s="1">
        <f t="shared" si="115"/>
        <v>51.304347826086953</v>
      </c>
      <c r="DK36" s="1">
        <f t="shared" si="115"/>
        <v>51.739130434782609</v>
      </c>
      <c r="DL36" s="1">
        <f t="shared" si="115"/>
        <v>52.173913043478258</v>
      </c>
      <c r="DM36" s="1">
        <f t="shared" si="113"/>
        <v>52.608695652173914</v>
      </c>
      <c r="DN36" s="1">
        <f t="shared" si="113"/>
        <v>53.043478260869563</v>
      </c>
      <c r="DO36" s="1">
        <f t="shared" si="113"/>
        <v>53.478260869565219</v>
      </c>
      <c r="DP36" s="1">
        <f t="shared" si="113"/>
        <v>53.913043478260867</v>
      </c>
      <c r="DQ36" s="1">
        <f t="shared" si="113"/>
        <v>54.347826086956523</v>
      </c>
      <c r="DR36" s="1">
        <f t="shared" si="113"/>
        <v>54.782608695652172</v>
      </c>
      <c r="DS36" s="1">
        <f t="shared" si="113"/>
        <v>55.217391304347828</v>
      </c>
    </row>
    <row r="37" spans="1:123" x14ac:dyDescent="0.3">
      <c r="A37" s="81"/>
      <c r="B37" s="13" t="str">
        <f t="shared" si="99"/>
        <v>0x18</v>
      </c>
      <c r="C37" s="12">
        <f t="shared" si="101"/>
        <v>24</v>
      </c>
      <c r="D37" s="1">
        <f t="shared" si="100"/>
        <v>3.3333333333333335</v>
      </c>
      <c r="E37" s="1">
        <f t="shared" si="100"/>
        <v>3.75</v>
      </c>
      <c r="F37" s="1">
        <f t="shared" si="100"/>
        <v>4.166666666666667</v>
      </c>
      <c r="G37" s="1">
        <f t="shared" si="100"/>
        <v>4.583333333333333</v>
      </c>
      <c r="H37" s="1">
        <f t="shared" si="100"/>
        <v>5</v>
      </c>
      <c r="I37" s="1">
        <f t="shared" si="100"/>
        <v>5.416666666666667</v>
      </c>
      <c r="J37" s="1">
        <f t="shared" si="100"/>
        <v>5.833333333333333</v>
      </c>
      <c r="K37" s="1">
        <f t="shared" si="100"/>
        <v>6.25</v>
      </c>
      <c r="L37" s="1">
        <f t="shared" ref="L37:AA52" si="116">IF($U$3=0,0,($U$2*L$13)/($C37*$U$3))</f>
        <v>6.666666666666667</v>
      </c>
      <c r="M37" s="1">
        <f t="shared" si="116"/>
        <v>7.083333333333333</v>
      </c>
      <c r="N37" s="1">
        <f t="shared" si="116"/>
        <v>7.5</v>
      </c>
      <c r="O37" s="1">
        <f t="shared" si="116"/>
        <v>7.916666666666667</v>
      </c>
      <c r="P37" s="1">
        <f t="shared" si="116"/>
        <v>8.3333333333333339</v>
      </c>
      <c r="Q37" s="1">
        <f t="shared" si="116"/>
        <v>8.75</v>
      </c>
      <c r="R37" s="1">
        <f t="shared" si="116"/>
        <v>9.1666666666666661</v>
      </c>
      <c r="S37" s="1">
        <f t="shared" si="116"/>
        <v>9.5833333333333339</v>
      </c>
      <c r="T37" s="1">
        <f t="shared" si="116"/>
        <v>10</v>
      </c>
      <c r="U37" s="1">
        <f t="shared" si="116"/>
        <v>10.416666666666666</v>
      </c>
      <c r="V37" s="1">
        <f t="shared" si="116"/>
        <v>10.833333333333334</v>
      </c>
      <c r="W37" s="1">
        <f t="shared" si="116"/>
        <v>11.25</v>
      </c>
      <c r="X37" s="1">
        <f t="shared" si="116"/>
        <v>11.666666666666666</v>
      </c>
      <c r="Y37" s="1">
        <f t="shared" si="116"/>
        <v>12.083333333333334</v>
      </c>
      <c r="Z37" s="1">
        <f t="shared" si="116"/>
        <v>12.5</v>
      </c>
      <c r="AA37" s="1">
        <f t="shared" si="116"/>
        <v>12.916666666666666</v>
      </c>
      <c r="AB37" s="1">
        <f t="shared" si="109"/>
        <v>13.333333333333334</v>
      </c>
      <c r="AC37" s="1">
        <f t="shared" si="109"/>
        <v>13.75</v>
      </c>
      <c r="AD37" s="1">
        <f t="shared" si="109"/>
        <v>14.166666666666666</v>
      </c>
      <c r="AE37" s="1">
        <f t="shared" si="109"/>
        <v>14.583333333333334</v>
      </c>
      <c r="AF37" s="1">
        <f t="shared" si="109"/>
        <v>15</v>
      </c>
      <c r="AG37" s="1">
        <f t="shared" si="109"/>
        <v>15.416666666666666</v>
      </c>
      <c r="AH37" s="1">
        <f t="shared" si="109"/>
        <v>15.833333333333334</v>
      </c>
      <c r="AI37" s="1">
        <f t="shared" si="109"/>
        <v>16.25</v>
      </c>
      <c r="AJ37" s="1">
        <f t="shared" si="110"/>
        <v>16.666666666666668</v>
      </c>
      <c r="AK37" s="1">
        <f t="shared" si="110"/>
        <v>17.083333333333332</v>
      </c>
      <c r="AL37" s="1">
        <f t="shared" si="110"/>
        <v>17.5</v>
      </c>
      <c r="AM37" s="1">
        <f t="shared" si="110"/>
        <v>17.916666666666668</v>
      </c>
      <c r="AN37" s="1">
        <f t="shared" si="110"/>
        <v>18.333333333333332</v>
      </c>
      <c r="AO37" s="1">
        <f t="shared" si="110"/>
        <v>18.75</v>
      </c>
      <c r="AP37" s="1">
        <f t="shared" si="110"/>
        <v>19.166666666666668</v>
      </c>
      <c r="AQ37" s="1">
        <f t="shared" si="110"/>
        <v>19.583333333333332</v>
      </c>
      <c r="AR37" s="1">
        <f t="shared" si="110"/>
        <v>20</v>
      </c>
      <c r="AS37" s="1">
        <f t="shared" si="110"/>
        <v>20.416666666666668</v>
      </c>
      <c r="AT37" s="1">
        <f t="shared" si="110"/>
        <v>20.833333333333332</v>
      </c>
      <c r="AU37" s="1">
        <f t="shared" si="110"/>
        <v>21.25</v>
      </c>
      <c r="AV37" s="1">
        <f t="shared" si="110"/>
        <v>21.666666666666668</v>
      </c>
      <c r="AW37" s="1">
        <f t="shared" si="110"/>
        <v>22.083333333333332</v>
      </c>
      <c r="AX37" s="1">
        <f t="shared" si="110"/>
        <v>22.5</v>
      </c>
      <c r="AY37" s="1">
        <f t="shared" ref="AY37:BN52" si="117">IF($U$3=0,0,($U$2*AY$13)/($C37*$U$3))</f>
        <v>22.916666666666668</v>
      </c>
      <c r="AZ37" s="1">
        <f t="shared" si="117"/>
        <v>23.333333333333332</v>
      </c>
      <c r="BA37" s="1">
        <f t="shared" si="117"/>
        <v>23.75</v>
      </c>
      <c r="BB37" s="1">
        <f t="shared" si="117"/>
        <v>24.166666666666668</v>
      </c>
      <c r="BC37" s="1">
        <f t="shared" si="117"/>
        <v>24.583333333333332</v>
      </c>
      <c r="BD37" s="1">
        <f t="shared" si="117"/>
        <v>25</v>
      </c>
      <c r="BE37" s="1">
        <f t="shared" si="117"/>
        <v>25.416666666666668</v>
      </c>
      <c r="BF37" s="1">
        <f t="shared" si="117"/>
        <v>25.833333333333332</v>
      </c>
      <c r="BG37" s="1">
        <f t="shared" si="117"/>
        <v>26.25</v>
      </c>
      <c r="BH37" s="1">
        <f t="shared" si="117"/>
        <v>26.666666666666668</v>
      </c>
      <c r="BI37" s="1">
        <f t="shared" si="117"/>
        <v>27.083333333333332</v>
      </c>
      <c r="BJ37" s="1">
        <f t="shared" si="117"/>
        <v>27.5</v>
      </c>
      <c r="BK37" s="1">
        <f t="shared" si="117"/>
        <v>27.916666666666668</v>
      </c>
      <c r="BL37" s="1">
        <f t="shared" si="117"/>
        <v>28.333333333333332</v>
      </c>
      <c r="BM37" s="1">
        <f t="shared" si="117"/>
        <v>28.75</v>
      </c>
      <c r="BN37" s="1">
        <f t="shared" si="117"/>
        <v>29.166666666666668</v>
      </c>
      <c r="BO37" s="1">
        <f t="shared" si="111"/>
        <v>29.583333333333332</v>
      </c>
      <c r="BP37" s="1">
        <f t="shared" si="108"/>
        <v>30</v>
      </c>
      <c r="BQ37" s="1">
        <f t="shared" si="108"/>
        <v>30.416666666666668</v>
      </c>
      <c r="BR37" s="1">
        <f t="shared" si="108"/>
        <v>30.833333333333332</v>
      </c>
      <c r="BS37" s="1">
        <f t="shared" si="108"/>
        <v>31.25</v>
      </c>
      <c r="BT37" s="1">
        <f t="shared" si="108"/>
        <v>31.666666666666668</v>
      </c>
      <c r="BU37" s="1">
        <f t="shared" si="108"/>
        <v>32.083333333333336</v>
      </c>
      <c r="BV37" s="1">
        <f t="shared" si="108"/>
        <v>32.5</v>
      </c>
      <c r="BW37" s="1">
        <f t="shared" si="108"/>
        <v>32.916666666666664</v>
      </c>
      <c r="BX37" s="1">
        <f t="shared" si="108"/>
        <v>33.333333333333336</v>
      </c>
      <c r="BY37" s="1">
        <f t="shared" si="108"/>
        <v>33.75</v>
      </c>
      <c r="BZ37" s="1">
        <f t="shared" si="108"/>
        <v>34.166666666666664</v>
      </c>
      <c r="CA37" s="1">
        <f t="shared" si="108"/>
        <v>34.583333333333336</v>
      </c>
      <c r="CB37" s="1">
        <f t="shared" si="108"/>
        <v>35</v>
      </c>
      <c r="CC37" s="1">
        <f t="shared" si="108"/>
        <v>35.416666666666664</v>
      </c>
      <c r="CD37" s="1">
        <f t="shared" si="108"/>
        <v>35.833333333333336</v>
      </c>
      <c r="CE37" s="1">
        <f t="shared" si="114"/>
        <v>36.25</v>
      </c>
      <c r="CF37" s="1">
        <f t="shared" si="114"/>
        <v>36.666666666666664</v>
      </c>
      <c r="CG37" s="1">
        <f t="shared" si="114"/>
        <v>37.083333333333336</v>
      </c>
      <c r="CH37" s="1">
        <f t="shared" si="114"/>
        <v>37.5</v>
      </c>
      <c r="CI37" s="1">
        <f t="shared" si="114"/>
        <v>37.916666666666664</v>
      </c>
      <c r="CJ37" s="1">
        <f t="shared" si="114"/>
        <v>38.333333333333336</v>
      </c>
      <c r="CK37" s="1">
        <f t="shared" si="114"/>
        <v>38.75</v>
      </c>
      <c r="CL37" s="1">
        <f t="shared" si="114"/>
        <v>39.166666666666664</v>
      </c>
      <c r="CM37" s="1">
        <f t="shared" si="114"/>
        <v>39.583333333333336</v>
      </c>
      <c r="CN37" s="1">
        <f t="shared" si="114"/>
        <v>40</v>
      </c>
      <c r="CO37" s="1">
        <f t="shared" si="114"/>
        <v>40.416666666666664</v>
      </c>
      <c r="CP37" s="1">
        <f t="shared" si="114"/>
        <v>40.833333333333336</v>
      </c>
      <c r="CQ37" s="1">
        <f t="shared" si="114"/>
        <v>41.25</v>
      </c>
      <c r="CR37" s="1">
        <f t="shared" si="114"/>
        <v>41.666666666666664</v>
      </c>
      <c r="CS37" s="1">
        <f t="shared" si="114"/>
        <v>42.083333333333336</v>
      </c>
      <c r="CT37" s="1">
        <f t="shared" si="114"/>
        <v>42.5</v>
      </c>
      <c r="CU37" s="1">
        <f t="shared" si="112"/>
        <v>42.916666666666664</v>
      </c>
      <c r="CV37" s="1">
        <f t="shared" si="106"/>
        <v>43.333333333333336</v>
      </c>
      <c r="CW37" s="1">
        <f t="shared" si="115"/>
        <v>43.75</v>
      </c>
      <c r="CX37" s="1">
        <f t="shared" si="115"/>
        <v>44.166666666666664</v>
      </c>
      <c r="CY37" s="1">
        <f t="shared" si="115"/>
        <v>44.583333333333336</v>
      </c>
      <c r="CZ37" s="1">
        <f t="shared" si="115"/>
        <v>45</v>
      </c>
      <c r="DA37" s="1">
        <f t="shared" si="115"/>
        <v>45.416666666666664</v>
      </c>
      <c r="DB37" s="1">
        <f t="shared" si="115"/>
        <v>45.833333333333336</v>
      </c>
      <c r="DC37" s="1">
        <f t="shared" si="115"/>
        <v>46.25</v>
      </c>
      <c r="DD37" s="1">
        <f t="shared" si="115"/>
        <v>46.666666666666664</v>
      </c>
      <c r="DE37" s="1">
        <f t="shared" si="115"/>
        <v>47.083333333333336</v>
      </c>
      <c r="DF37" s="1">
        <f t="shared" si="115"/>
        <v>47.5</v>
      </c>
      <c r="DG37" s="1">
        <f t="shared" si="115"/>
        <v>47.916666666666664</v>
      </c>
      <c r="DH37" s="1">
        <f t="shared" si="115"/>
        <v>48.333333333333336</v>
      </c>
      <c r="DI37" s="1">
        <f t="shared" si="115"/>
        <v>48.75</v>
      </c>
      <c r="DJ37" s="1">
        <f t="shared" si="115"/>
        <v>49.166666666666664</v>
      </c>
      <c r="DK37" s="1">
        <f t="shared" si="115"/>
        <v>49.583333333333336</v>
      </c>
      <c r="DL37" s="1">
        <f t="shared" si="115"/>
        <v>50</v>
      </c>
      <c r="DM37" s="1">
        <f t="shared" si="113"/>
        <v>50.416666666666664</v>
      </c>
      <c r="DN37" s="1">
        <f t="shared" si="113"/>
        <v>50.833333333333336</v>
      </c>
      <c r="DO37" s="1">
        <f t="shared" si="113"/>
        <v>51.25</v>
      </c>
      <c r="DP37" s="1">
        <f t="shared" si="113"/>
        <v>51.666666666666664</v>
      </c>
      <c r="DQ37" s="1">
        <f t="shared" si="113"/>
        <v>52.083333333333336</v>
      </c>
      <c r="DR37" s="1">
        <f t="shared" si="113"/>
        <v>52.5</v>
      </c>
      <c r="DS37" s="1">
        <f t="shared" si="113"/>
        <v>52.916666666666664</v>
      </c>
    </row>
    <row r="38" spans="1:123" x14ac:dyDescent="0.3">
      <c r="A38" s="81"/>
      <c r="B38" s="13" t="str">
        <f t="shared" si="99"/>
        <v>0x19</v>
      </c>
      <c r="C38" s="12">
        <f t="shared" si="101"/>
        <v>25</v>
      </c>
      <c r="D38" s="1">
        <f t="shared" ref="D38:S53" si="118">IF($U$3=0,0,($U$2*D$13)/($C38*$U$3))</f>
        <v>3.2</v>
      </c>
      <c r="E38" s="1">
        <f t="shared" si="118"/>
        <v>3.6</v>
      </c>
      <c r="F38" s="1">
        <f t="shared" si="118"/>
        <v>4</v>
      </c>
      <c r="G38" s="1">
        <f t="shared" si="118"/>
        <v>4.4000000000000004</v>
      </c>
      <c r="H38" s="1">
        <f t="shared" si="118"/>
        <v>4.8</v>
      </c>
      <c r="I38" s="1">
        <f t="shared" si="118"/>
        <v>5.2</v>
      </c>
      <c r="J38" s="1">
        <f t="shared" si="118"/>
        <v>5.6</v>
      </c>
      <c r="K38" s="1">
        <f t="shared" si="118"/>
        <v>6</v>
      </c>
      <c r="L38" s="1">
        <f t="shared" si="118"/>
        <v>6.4</v>
      </c>
      <c r="M38" s="1">
        <f t="shared" si="118"/>
        <v>6.8</v>
      </c>
      <c r="N38" s="1">
        <f t="shared" si="118"/>
        <v>7.2</v>
      </c>
      <c r="O38" s="1">
        <f t="shared" si="118"/>
        <v>7.6</v>
      </c>
      <c r="P38" s="1">
        <f t="shared" si="118"/>
        <v>8</v>
      </c>
      <c r="Q38" s="1">
        <f t="shared" si="118"/>
        <v>8.4</v>
      </c>
      <c r="R38" s="1">
        <f t="shared" si="118"/>
        <v>8.8000000000000007</v>
      </c>
      <c r="S38" s="1">
        <f t="shared" si="118"/>
        <v>9.1999999999999993</v>
      </c>
      <c r="T38" s="1">
        <f t="shared" si="116"/>
        <v>9.6</v>
      </c>
      <c r="U38" s="1">
        <f t="shared" si="116"/>
        <v>10</v>
      </c>
      <c r="V38" s="1">
        <f t="shared" si="116"/>
        <v>10.4</v>
      </c>
      <c r="W38" s="1">
        <f t="shared" si="116"/>
        <v>10.8</v>
      </c>
      <c r="X38" s="1">
        <f t="shared" si="116"/>
        <v>11.2</v>
      </c>
      <c r="Y38" s="1">
        <f t="shared" si="116"/>
        <v>11.6</v>
      </c>
      <c r="Z38" s="1">
        <f t="shared" si="116"/>
        <v>12</v>
      </c>
      <c r="AA38" s="1">
        <f t="shared" si="116"/>
        <v>12.4</v>
      </c>
      <c r="AB38" s="1">
        <f t="shared" si="109"/>
        <v>12.8</v>
      </c>
      <c r="AC38" s="1">
        <f t="shared" si="109"/>
        <v>13.2</v>
      </c>
      <c r="AD38" s="1">
        <f t="shared" si="109"/>
        <v>13.6</v>
      </c>
      <c r="AE38" s="1">
        <f t="shared" si="109"/>
        <v>14</v>
      </c>
      <c r="AF38" s="1">
        <f t="shared" si="109"/>
        <v>14.4</v>
      </c>
      <c r="AG38" s="1">
        <f t="shared" si="109"/>
        <v>14.8</v>
      </c>
      <c r="AH38" s="1">
        <f t="shared" si="109"/>
        <v>15.2</v>
      </c>
      <c r="AI38" s="1">
        <f t="shared" ref="AI38:AX55" si="119">IF($U$3=0,0,($U$2*AI$13)/($C38*$U$3))</f>
        <v>15.6</v>
      </c>
      <c r="AJ38" s="1">
        <f t="shared" si="119"/>
        <v>16</v>
      </c>
      <c r="AK38" s="1">
        <f t="shared" si="119"/>
        <v>16.399999999999999</v>
      </c>
      <c r="AL38" s="1">
        <f t="shared" si="119"/>
        <v>16.8</v>
      </c>
      <c r="AM38" s="1">
        <f t="shared" si="119"/>
        <v>17.2</v>
      </c>
      <c r="AN38" s="1">
        <f t="shared" si="119"/>
        <v>17.600000000000001</v>
      </c>
      <c r="AO38" s="1">
        <f t="shared" si="119"/>
        <v>18</v>
      </c>
      <c r="AP38" s="1">
        <f t="shared" si="119"/>
        <v>18.399999999999999</v>
      </c>
      <c r="AQ38" s="1">
        <f t="shared" si="119"/>
        <v>18.8</v>
      </c>
      <c r="AR38" s="1">
        <f t="shared" si="119"/>
        <v>19.2</v>
      </c>
      <c r="AS38" s="1">
        <f t="shared" si="119"/>
        <v>19.600000000000001</v>
      </c>
      <c r="AT38" s="1">
        <f t="shared" si="119"/>
        <v>20</v>
      </c>
      <c r="AU38" s="1">
        <f t="shared" si="119"/>
        <v>20.399999999999999</v>
      </c>
      <c r="AV38" s="1">
        <f t="shared" si="119"/>
        <v>20.8</v>
      </c>
      <c r="AW38" s="1">
        <f t="shared" si="119"/>
        <v>21.2</v>
      </c>
      <c r="AX38" s="1">
        <f t="shared" si="119"/>
        <v>21.6</v>
      </c>
      <c r="AY38" s="1">
        <f t="shared" si="117"/>
        <v>22</v>
      </c>
      <c r="AZ38" s="1">
        <f t="shared" si="117"/>
        <v>22.4</v>
      </c>
      <c r="BA38" s="1">
        <f t="shared" si="117"/>
        <v>22.8</v>
      </c>
      <c r="BB38" s="1">
        <f t="shared" si="117"/>
        <v>23.2</v>
      </c>
      <c r="BC38" s="1">
        <f t="shared" si="117"/>
        <v>23.6</v>
      </c>
      <c r="BD38" s="1">
        <f t="shared" si="117"/>
        <v>24</v>
      </c>
      <c r="BE38" s="1">
        <f t="shared" si="117"/>
        <v>24.4</v>
      </c>
      <c r="BF38" s="1">
        <f t="shared" si="117"/>
        <v>24.8</v>
      </c>
      <c r="BG38" s="1">
        <f t="shared" si="117"/>
        <v>25.2</v>
      </c>
      <c r="BH38" s="1">
        <f t="shared" si="117"/>
        <v>25.6</v>
      </c>
      <c r="BI38" s="1">
        <f t="shared" si="117"/>
        <v>26</v>
      </c>
      <c r="BJ38" s="1">
        <f t="shared" si="117"/>
        <v>26.4</v>
      </c>
      <c r="BK38" s="1">
        <f t="shared" si="117"/>
        <v>26.8</v>
      </c>
      <c r="BL38" s="1">
        <f t="shared" si="117"/>
        <v>27.2</v>
      </c>
      <c r="BM38" s="1">
        <f t="shared" si="117"/>
        <v>27.6</v>
      </c>
      <c r="BN38" s="1">
        <f t="shared" si="117"/>
        <v>28</v>
      </c>
      <c r="BO38" s="1">
        <f t="shared" si="111"/>
        <v>28.4</v>
      </c>
      <c r="BP38" s="1">
        <f t="shared" si="108"/>
        <v>28.8</v>
      </c>
      <c r="BQ38" s="1">
        <f t="shared" si="108"/>
        <v>29.2</v>
      </c>
      <c r="BR38" s="1">
        <f t="shared" si="108"/>
        <v>29.6</v>
      </c>
      <c r="BS38" s="1">
        <f t="shared" si="108"/>
        <v>30</v>
      </c>
      <c r="BT38" s="1">
        <f t="shared" si="108"/>
        <v>30.4</v>
      </c>
      <c r="BU38" s="1">
        <f t="shared" si="108"/>
        <v>30.8</v>
      </c>
      <c r="BV38" s="1">
        <f t="shared" si="108"/>
        <v>31.2</v>
      </c>
      <c r="BW38" s="1">
        <f t="shared" si="108"/>
        <v>31.6</v>
      </c>
      <c r="BX38" s="1">
        <f t="shared" si="108"/>
        <v>32</v>
      </c>
      <c r="BY38" s="1">
        <f t="shared" si="108"/>
        <v>32.4</v>
      </c>
      <c r="BZ38" s="1">
        <f t="shared" si="108"/>
        <v>32.799999999999997</v>
      </c>
      <c r="CA38" s="1">
        <f t="shared" si="108"/>
        <v>33.200000000000003</v>
      </c>
      <c r="CB38" s="1">
        <f t="shared" si="108"/>
        <v>33.6</v>
      </c>
      <c r="CC38" s="1">
        <f t="shared" si="108"/>
        <v>34</v>
      </c>
      <c r="CD38" s="1">
        <f t="shared" si="108"/>
        <v>34.4</v>
      </c>
      <c r="CE38" s="1">
        <f t="shared" si="114"/>
        <v>34.799999999999997</v>
      </c>
      <c r="CF38" s="1">
        <f t="shared" si="114"/>
        <v>35.200000000000003</v>
      </c>
      <c r="CG38" s="1">
        <f t="shared" si="114"/>
        <v>35.6</v>
      </c>
      <c r="CH38" s="1">
        <f t="shared" si="114"/>
        <v>36</v>
      </c>
      <c r="CI38" s="1">
        <f t="shared" si="114"/>
        <v>36.4</v>
      </c>
      <c r="CJ38" s="1">
        <f t="shared" si="114"/>
        <v>36.799999999999997</v>
      </c>
      <c r="CK38" s="1">
        <f t="shared" si="114"/>
        <v>37.200000000000003</v>
      </c>
      <c r="CL38" s="1">
        <f t="shared" si="114"/>
        <v>37.6</v>
      </c>
      <c r="CM38" s="1">
        <f t="shared" si="114"/>
        <v>38</v>
      </c>
      <c r="CN38" s="1">
        <f t="shared" si="114"/>
        <v>38.4</v>
      </c>
      <c r="CO38" s="1">
        <f t="shared" si="114"/>
        <v>38.799999999999997</v>
      </c>
      <c r="CP38" s="1">
        <f t="shared" si="114"/>
        <v>39.200000000000003</v>
      </c>
      <c r="CQ38" s="1">
        <f t="shared" si="114"/>
        <v>39.6</v>
      </c>
      <c r="CR38" s="1">
        <f t="shared" si="114"/>
        <v>40</v>
      </c>
      <c r="CS38" s="1">
        <f t="shared" si="114"/>
        <v>40.4</v>
      </c>
      <c r="CT38" s="1">
        <f t="shared" si="114"/>
        <v>40.799999999999997</v>
      </c>
      <c r="CU38" s="1">
        <f t="shared" si="112"/>
        <v>41.2</v>
      </c>
      <c r="CV38" s="1">
        <f t="shared" si="106"/>
        <v>41.6</v>
      </c>
      <c r="CW38" s="1">
        <f t="shared" si="115"/>
        <v>42</v>
      </c>
      <c r="CX38" s="1">
        <f t="shared" si="115"/>
        <v>42.4</v>
      </c>
      <c r="CY38" s="1">
        <f t="shared" si="115"/>
        <v>42.8</v>
      </c>
      <c r="CZ38" s="1">
        <f t="shared" si="115"/>
        <v>43.2</v>
      </c>
      <c r="DA38" s="1">
        <f t="shared" si="115"/>
        <v>43.6</v>
      </c>
      <c r="DB38" s="1">
        <f t="shared" si="115"/>
        <v>44</v>
      </c>
      <c r="DC38" s="1">
        <f t="shared" si="115"/>
        <v>44.4</v>
      </c>
      <c r="DD38" s="1">
        <f t="shared" si="115"/>
        <v>44.8</v>
      </c>
      <c r="DE38" s="1">
        <f t="shared" si="115"/>
        <v>45.2</v>
      </c>
      <c r="DF38" s="1">
        <f t="shared" si="115"/>
        <v>45.6</v>
      </c>
      <c r="DG38" s="1">
        <f t="shared" si="115"/>
        <v>46</v>
      </c>
      <c r="DH38" s="1">
        <f t="shared" si="115"/>
        <v>46.4</v>
      </c>
      <c r="DI38" s="1">
        <f t="shared" si="115"/>
        <v>46.8</v>
      </c>
      <c r="DJ38" s="1">
        <f t="shared" si="115"/>
        <v>47.2</v>
      </c>
      <c r="DK38" s="1">
        <f t="shared" si="115"/>
        <v>47.6</v>
      </c>
      <c r="DL38" s="1">
        <f t="shared" si="115"/>
        <v>48</v>
      </c>
      <c r="DM38" s="1">
        <f t="shared" si="113"/>
        <v>48.4</v>
      </c>
      <c r="DN38" s="1">
        <f t="shared" si="113"/>
        <v>48.8</v>
      </c>
      <c r="DO38" s="1">
        <f t="shared" si="113"/>
        <v>49.2</v>
      </c>
      <c r="DP38" s="1">
        <f t="shared" si="113"/>
        <v>49.6</v>
      </c>
      <c r="DQ38" s="1">
        <f t="shared" si="113"/>
        <v>50</v>
      </c>
      <c r="DR38" s="1">
        <f t="shared" si="113"/>
        <v>50.4</v>
      </c>
      <c r="DS38" s="1">
        <f t="shared" si="113"/>
        <v>50.8</v>
      </c>
    </row>
    <row r="39" spans="1:123" x14ac:dyDescent="0.3">
      <c r="A39" s="81"/>
      <c r="B39" s="13" t="str">
        <f t="shared" si="99"/>
        <v>0x1A</v>
      </c>
      <c r="C39" s="12">
        <f t="shared" si="101"/>
        <v>26</v>
      </c>
      <c r="D39" s="1">
        <f t="shared" si="118"/>
        <v>3.0769230769230771</v>
      </c>
      <c r="E39" s="1">
        <f t="shared" si="118"/>
        <v>3.4615384615384617</v>
      </c>
      <c r="F39" s="1">
        <f t="shared" si="118"/>
        <v>3.8461538461538463</v>
      </c>
      <c r="G39" s="1">
        <f t="shared" si="118"/>
        <v>4.2307692307692308</v>
      </c>
      <c r="H39" s="1">
        <f t="shared" si="118"/>
        <v>4.615384615384615</v>
      </c>
      <c r="I39" s="1">
        <f t="shared" si="118"/>
        <v>5</v>
      </c>
      <c r="J39" s="1">
        <f t="shared" si="118"/>
        <v>5.384615384615385</v>
      </c>
      <c r="K39" s="1">
        <f t="shared" si="118"/>
        <v>5.7692307692307692</v>
      </c>
      <c r="L39" s="1">
        <f t="shared" si="118"/>
        <v>6.1538461538461542</v>
      </c>
      <c r="M39" s="1">
        <f t="shared" si="118"/>
        <v>6.5384615384615383</v>
      </c>
      <c r="N39" s="1">
        <f t="shared" si="118"/>
        <v>6.9230769230769234</v>
      </c>
      <c r="O39" s="1">
        <f t="shared" si="118"/>
        <v>7.3076923076923075</v>
      </c>
      <c r="P39" s="1">
        <f t="shared" si="118"/>
        <v>7.6923076923076925</v>
      </c>
      <c r="Q39" s="1">
        <f t="shared" si="118"/>
        <v>8.0769230769230766</v>
      </c>
      <c r="R39" s="1">
        <f t="shared" si="118"/>
        <v>8.4615384615384617</v>
      </c>
      <c r="S39" s="1">
        <f t="shared" si="118"/>
        <v>8.8461538461538467</v>
      </c>
      <c r="T39" s="1">
        <f t="shared" si="116"/>
        <v>9.2307692307692299</v>
      </c>
      <c r="U39" s="1">
        <f t="shared" si="116"/>
        <v>9.615384615384615</v>
      </c>
      <c r="V39" s="1">
        <f t="shared" si="116"/>
        <v>10</v>
      </c>
      <c r="W39" s="1">
        <f t="shared" si="116"/>
        <v>10.384615384615385</v>
      </c>
      <c r="X39" s="1">
        <f t="shared" si="116"/>
        <v>10.76923076923077</v>
      </c>
      <c r="Y39" s="1">
        <f t="shared" si="116"/>
        <v>11.153846153846153</v>
      </c>
      <c r="Z39" s="1">
        <f t="shared" si="116"/>
        <v>11.538461538461538</v>
      </c>
      <c r="AA39" s="1">
        <f t="shared" si="116"/>
        <v>11.923076923076923</v>
      </c>
      <c r="AB39" s="1">
        <f t="shared" ref="AB39:AQ56" si="120">IF($U$3=0,0,($U$2*AB$13)/($C39*$U$3))</f>
        <v>12.307692307692308</v>
      </c>
      <c r="AC39" s="1">
        <f t="shared" si="120"/>
        <v>12.692307692307692</v>
      </c>
      <c r="AD39" s="1">
        <f t="shared" si="120"/>
        <v>13.076923076923077</v>
      </c>
      <c r="AE39" s="1">
        <f t="shared" si="120"/>
        <v>13.461538461538462</v>
      </c>
      <c r="AF39" s="1">
        <f t="shared" si="120"/>
        <v>13.846153846153847</v>
      </c>
      <c r="AG39" s="1">
        <f t="shared" si="120"/>
        <v>14.23076923076923</v>
      </c>
      <c r="AH39" s="1">
        <f t="shared" si="120"/>
        <v>14.615384615384615</v>
      </c>
      <c r="AI39" s="1">
        <f t="shared" si="120"/>
        <v>15</v>
      </c>
      <c r="AJ39" s="1">
        <f t="shared" si="120"/>
        <v>15.384615384615385</v>
      </c>
      <c r="AK39" s="1">
        <f t="shared" si="120"/>
        <v>15.76923076923077</v>
      </c>
      <c r="AL39" s="1">
        <f t="shared" si="120"/>
        <v>16.153846153846153</v>
      </c>
      <c r="AM39" s="1">
        <f t="shared" si="120"/>
        <v>16.53846153846154</v>
      </c>
      <c r="AN39" s="1">
        <f t="shared" si="120"/>
        <v>16.923076923076923</v>
      </c>
      <c r="AO39" s="1">
        <f t="shared" si="120"/>
        <v>17.307692307692307</v>
      </c>
      <c r="AP39" s="1">
        <f t="shared" si="120"/>
        <v>17.692307692307693</v>
      </c>
      <c r="AQ39" s="1">
        <f t="shared" si="120"/>
        <v>18.076923076923077</v>
      </c>
      <c r="AR39" s="1">
        <f t="shared" si="119"/>
        <v>18.46153846153846</v>
      </c>
      <c r="AS39" s="1">
        <f t="shared" si="119"/>
        <v>18.846153846153847</v>
      </c>
      <c r="AT39" s="1">
        <f t="shared" si="119"/>
        <v>19.23076923076923</v>
      </c>
      <c r="AU39" s="1">
        <f t="shared" si="119"/>
        <v>19.615384615384617</v>
      </c>
      <c r="AV39" s="1">
        <f t="shared" si="119"/>
        <v>20</v>
      </c>
      <c r="AW39" s="1">
        <f t="shared" si="119"/>
        <v>20.384615384615383</v>
      </c>
      <c r="AX39" s="1">
        <f t="shared" si="119"/>
        <v>20.76923076923077</v>
      </c>
      <c r="AY39" s="1">
        <f t="shared" si="117"/>
        <v>21.153846153846153</v>
      </c>
      <c r="AZ39" s="1">
        <f t="shared" si="117"/>
        <v>21.53846153846154</v>
      </c>
      <c r="BA39" s="1">
        <f t="shared" si="117"/>
        <v>21.923076923076923</v>
      </c>
      <c r="BB39" s="1">
        <f t="shared" si="117"/>
        <v>22.307692307692307</v>
      </c>
      <c r="BC39" s="1">
        <f t="shared" si="117"/>
        <v>22.692307692307693</v>
      </c>
      <c r="BD39" s="1">
        <f t="shared" si="117"/>
        <v>23.076923076923077</v>
      </c>
      <c r="BE39" s="1">
        <f t="shared" si="117"/>
        <v>23.46153846153846</v>
      </c>
      <c r="BF39" s="1">
        <f t="shared" si="117"/>
        <v>23.846153846153847</v>
      </c>
      <c r="BG39" s="1">
        <f t="shared" si="117"/>
        <v>24.23076923076923</v>
      </c>
      <c r="BH39" s="1">
        <f t="shared" si="117"/>
        <v>24.615384615384617</v>
      </c>
      <c r="BI39" s="1">
        <f t="shared" si="117"/>
        <v>25</v>
      </c>
      <c r="BJ39" s="1">
        <f t="shared" si="117"/>
        <v>25.384615384615383</v>
      </c>
      <c r="BK39" s="1">
        <f t="shared" si="117"/>
        <v>25.76923076923077</v>
      </c>
      <c r="BL39" s="1">
        <f t="shared" si="117"/>
        <v>26.153846153846153</v>
      </c>
      <c r="BM39" s="1">
        <f t="shared" si="117"/>
        <v>26.53846153846154</v>
      </c>
      <c r="BN39" s="1">
        <f t="shared" si="117"/>
        <v>26.923076923076923</v>
      </c>
      <c r="BO39" s="1">
        <f t="shared" si="111"/>
        <v>27.307692307692307</v>
      </c>
      <c r="BP39" s="1">
        <f t="shared" si="108"/>
        <v>27.692307692307693</v>
      </c>
      <c r="BQ39" s="1">
        <f t="shared" si="108"/>
        <v>28.076923076923077</v>
      </c>
      <c r="BR39" s="1">
        <f t="shared" si="108"/>
        <v>28.46153846153846</v>
      </c>
      <c r="BS39" s="1">
        <f t="shared" si="108"/>
        <v>28.846153846153847</v>
      </c>
      <c r="BT39" s="1">
        <f t="shared" si="108"/>
        <v>29.23076923076923</v>
      </c>
      <c r="BU39" s="1">
        <f t="shared" si="108"/>
        <v>29.615384615384617</v>
      </c>
      <c r="BV39" s="1">
        <f t="shared" si="108"/>
        <v>30</v>
      </c>
      <c r="BW39" s="1">
        <f t="shared" si="108"/>
        <v>30.384615384615383</v>
      </c>
      <c r="BX39" s="1">
        <f t="shared" si="108"/>
        <v>30.76923076923077</v>
      </c>
      <c r="BY39" s="1">
        <f t="shared" si="108"/>
        <v>31.153846153846153</v>
      </c>
      <c r="BZ39" s="1">
        <f t="shared" si="108"/>
        <v>31.53846153846154</v>
      </c>
      <c r="CA39" s="1">
        <f t="shared" si="108"/>
        <v>31.923076923076923</v>
      </c>
      <c r="CB39" s="1">
        <f t="shared" si="108"/>
        <v>32.307692307692307</v>
      </c>
      <c r="CC39" s="1">
        <f t="shared" si="108"/>
        <v>32.692307692307693</v>
      </c>
      <c r="CD39" s="1">
        <f t="shared" si="108"/>
        <v>33.07692307692308</v>
      </c>
      <c r="CE39" s="1">
        <f t="shared" si="114"/>
        <v>33.46153846153846</v>
      </c>
      <c r="CF39" s="1">
        <f t="shared" si="114"/>
        <v>33.846153846153847</v>
      </c>
      <c r="CG39" s="1">
        <f t="shared" si="114"/>
        <v>34.230769230769234</v>
      </c>
      <c r="CH39" s="1">
        <f t="shared" si="114"/>
        <v>34.615384615384613</v>
      </c>
      <c r="CI39" s="1">
        <f t="shared" si="114"/>
        <v>35</v>
      </c>
      <c r="CJ39" s="1">
        <f t="shared" si="114"/>
        <v>35.384615384615387</v>
      </c>
      <c r="CK39" s="1">
        <f t="shared" si="114"/>
        <v>35.769230769230766</v>
      </c>
      <c r="CL39" s="1">
        <f t="shared" si="114"/>
        <v>36.153846153846153</v>
      </c>
      <c r="CM39" s="1">
        <f t="shared" si="114"/>
        <v>36.53846153846154</v>
      </c>
      <c r="CN39" s="1">
        <f t="shared" si="114"/>
        <v>36.92307692307692</v>
      </c>
      <c r="CO39" s="1">
        <f t="shared" si="114"/>
        <v>37.307692307692307</v>
      </c>
      <c r="CP39" s="1">
        <f t="shared" si="114"/>
        <v>37.692307692307693</v>
      </c>
      <c r="CQ39" s="1">
        <f t="shared" si="114"/>
        <v>38.07692307692308</v>
      </c>
      <c r="CR39" s="1">
        <f t="shared" si="114"/>
        <v>38.46153846153846</v>
      </c>
      <c r="CS39" s="1">
        <f t="shared" si="114"/>
        <v>38.846153846153847</v>
      </c>
      <c r="CT39" s="1">
        <f t="shared" si="114"/>
        <v>39.230769230769234</v>
      </c>
      <c r="CU39" s="1">
        <f t="shared" si="112"/>
        <v>39.615384615384613</v>
      </c>
      <c r="CV39" s="1">
        <f t="shared" si="106"/>
        <v>40</v>
      </c>
      <c r="CW39" s="1">
        <f t="shared" si="115"/>
        <v>40.384615384615387</v>
      </c>
      <c r="CX39" s="1">
        <f t="shared" si="115"/>
        <v>40.769230769230766</v>
      </c>
      <c r="CY39" s="1">
        <f t="shared" si="115"/>
        <v>41.153846153846153</v>
      </c>
      <c r="CZ39" s="1">
        <f t="shared" si="115"/>
        <v>41.53846153846154</v>
      </c>
      <c r="DA39" s="1">
        <f t="shared" si="115"/>
        <v>41.92307692307692</v>
      </c>
      <c r="DB39" s="1">
        <f t="shared" si="115"/>
        <v>42.307692307692307</v>
      </c>
      <c r="DC39" s="1">
        <f t="shared" si="115"/>
        <v>42.692307692307693</v>
      </c>
      <c r="DD39" s="1">
        <f t="shared" si="115"/>
        <v>43.07692307692308</v>
      </c>
      <c r="DE39" s="1">
        <f t="shared" si="115"/>
        <v>43.46153846153846</v>
      </c>
      <c r="DF39" s="1">
        <f t="shared" si="115"/>
        <v>43.846153846153847</v>
      </c>
      <c r="DG39" s="1">
        <f t="shared" si="115"/>
        <v>44.230769230769234</v>
      </c>
      <c r="DH39" s="1">
        <f t="shared" si="115"/>
        <v>44.615384615384613</v>
      </c>
      <c r="DI39" s="1">
        <f t="shared" si="115"/>
        <v>45</v>
      </c>
      <c r="DJ39" s="1">
        <f t="shared" si="115"/>
        <v>45.384615384615387</v>
      </c>
      <c r="DK39" s="1">
        <f t="shared" si="115"/>
        <v>45.769230769230766</v>
      </c>
      <c r="DL39" s="1">
        <f t="shared" si="115"/>
        <v>46.153846153846153</v>
      </c>
      <c r="DM39" s="1">
        <f t="shared" si="113"/>
        <v>46.53846153846154</v>
      </c>
      <c r="DN39" s="1">
        <f t="shared" si="113"/>
        <v>46.92307692307692</v>
      </c>
      <c r="DO39" s="1">
        <f t="shared" si="113"/>
        <v>47.307692307692307</v>
      </c>
      <c r="DP39" s="1">
        <f t="shared" si="113"/>
        <v>47.692307692307693</v>
      </c>
      <c r="DQ39" s="1">
        <f t="shared" si="113"/>
        <v>48.07692307692308</v>
      </c>
      <c r="DR39" s="1">
        <f t="shared" si="113"/>
        <v>48.46153846153846</v>
      </c>
      <c r="DS39" s="1">
        <f t="shared" si="113"/>
        <v>48.846153846153847</v>
      </c>
    </row>
    <row r="40" spans="1:123" x14ac:dyDescent="0.3">
      <c r="A40" s="81"/>
      <c r="B40" s="13" t="str">
        <f t="shared" si="99"/>
        <v>0x1B</v>
      </c>
      <c r="C40" s="12">
        <f t="shared" si="101"/>
        <v>27</v>
      </c>
      <c r="D40" s="1">
        <f t="shared" si="118"/>
        <v>2.9629629629629628</v>
      </c>
      <c r="E40" s="1">
        <f t="shared" si="118"/>
        <v>3.3333333333333335</v>
      </c>
      <c r="F40" s="1">
        <f t="shared" si="118"/>
        <v>3.7037037037037037</v>
      </c>
      <c r="G40" s="1">
        <f t="shared" si="118"/>
        <v>4.0740740740740744</v>
      </c>
      <c r="H40" s="1">
        <f t="shared" si="118"/>
        <v>4.4444444444444446</v>
      </c>
      <c r="I40" s="1">
        <f t="shared" si="118"/>
        <v>4.8148148148148149</v>
      </c>
      <c r="J40" s="1">
        <f t="shared" si="118"/>
        <v>5.1851851851851851</v>
      </c>
      <c r="K40" s="1">
        <f t="shared" si="118"/>
        <v>5.5555555555555554</v>
      </c>
      <c r="L40" s="1">
        <f t="shared" si="118"/>
        <v>5.9259259259259256</v>
      </c>
      <c r="M40" s="1">
        <f t="shared" si="118"/>
        <v>6.2962962962962967</v>
      </c>
      <c r="N40" s="1">
        <f t="shared" si="118"/>
        <v>6.666666666666667</v>
      </c>
      <c r="O40" s="1">
        <f t="shared" si="118"/>
        <v>7.0370370370370372</v>
      </c>
      <c r="P40" s="1">
        <f t="shared" si="118"/>
        <v>7.4074074074074074</v>
      </c>
      <c r="Q40" s="1">
        <f t="shared" si="118"/>
        <v>7.7777777777777777</v>
      </c>
      <c r="R40" s="1">
        <f t="shared" si="118"/>
        <v>8.1481481481481488</v>
      </c>
      <c r="S40" s="1">
        <f t="shared" si="118"/>
        <v>8.518518518518519</v>
      </c>
      <c r="T40" s="1">
        <f t="shared" si="116"/>
        <v>8.8888888888888893</v>
      </c>
      <c r="U40" s="1">
        <f t="shared" si="116"/>
        <v>9.2592592592592595</v>
      </c>
      <c r="V40" s="1">
        <f t="shared" si="116"/>
        <v>9.6296296296296298</v>
      </c>
      <c r="W40" s="1">
        <f t="shared" si="116"/>
        <v>10</v>
      </c>
      <c r="X40" s="1">
        <f t="shared" si="116"/>
        <v>10.37037037037037</v>
      </c>
      <c r="Y40" s="1">
        <f t="shared" si="116"/>
        <v>10.74074074074074</v>
      </c>
      <c r="Z40" s="1">
        <f t="shared" si="116"/>
        <v>11.111111111111111</v>
      </c>
      <c r="AA40" s="1">
        <f t="shared" si="116"/>
        <v>11.481481481481481</v>
      </c>
      <c r="AB40" s="1">
        <f t="shared" si="120"/>
        <v>11.851851851851851</v>
      </c>
      <c r="AC40" s="1">
        <f t="shared" si="120"/>
        <v>12.222222222222221</v>
      </c>
      <c r="AD40" s="1">
        <f t="shared" si="120"/>
        <v>12.592592592592593</v>
      </c>
      <c r="AE40" s="1">
        <f t="shared" si="120"/>
        <v>12.962962962962964</v>
      </c>
      <c r="AF40" s="1">
        <f t="shared" si="120"/>
        <v>13.333333333333334</v>
      </c>
      <c r="AG40" s="1">
        <f t="shared" si="120"/>
        <v>13.703703703703704</v>
      </c>
      <c r="AH40" s="1">
        <f t="shared" si="120"/>
        <v>14.074074074074074</v>
      </c>
      <c r="AI40" s="1">
        <f t="shared" si="120"/>
        <v>14.444444444444445</v>
      </c>
      <c r="AJ40" s="1">
        <f t="shared" si="120"/>
        <v>14.814814814814815</v>
      </c>
      <c r="AK40" s="1">
        <f t="shared" si="120"/>
        <v>15.185185185185185</v>
      </c>
      <c r="AL40" s="1">
        <f t="shared" si="120"/>
        <v>15.555555555555555</v>
      </c>
      <c r="AM40" s="1">
        <f t="shared" si="120"/>
        <v>15.925925925925926</v>
      </c>
      <c r="AN40" s="1">
        <f t="shared" si="120"/>
        <v>16.296296296296298</v>
      </c>
      <c r="AO40" s="1">
        <f t="shared" si="120"/>
        <v>16.666666666666668</v>
      </c>
      <c r="AP40" s="1">
        <f t="shared" si="120"/>
        <v>17.037037037037038</v>
      </c>
      <c r="AQ40" s="1">
        <f t="shared" si="120"/>
        <v>17.407407407407408</v>
      </c>
      <c r="AR40" s="1">
        <f t="shared" si="119"/>
        <v>17.777777777777779</v>
      </c>
      <c r="AS40" s="1">
        <f t="shared" si="119"/>
        <v>18.148148148148149</v>
      </c>
      <c r="AT40" s="1">
        <f t="shared" si="119"/>
        <v>18.518518518518519</v>
      </c>
      <c r="AU40" s="1">
        <f t="shared" si="119"/>
        <v>18.888888888888889</v>
      </c>
      <c r="AV40" s="1">
        <f t="shared" si="119"/>
        <v>19.25925925925926</v>
      </c>
      <c r="AW40" s="1">
        <f t="shared" si="119"/>
        <v>19.62962962962963</v>
      </c>
      <c r="AX40" s="1">
        <f t="shared" si="119"/>
        <v>20</v>
      </c>
      <c r="AY40" s="1">
        <f t="shared" si="117"/>
        <v>20.37037037037037</v>
      </c>
      <c r="AZ40" s="1">
        <f t="shared" si="117"/>
        <v>20.74074074074074</v>
      </c>
      <c r="BA40" s="1">
        <f t="shared" si="117"/>
        <v>21.111111111111111</v>
      </c>
      <c r="BB40" s="1">
        <f t="shared" si="117"/>
        <v>21.481481481481481</v>
      </c>
      <c r="BC40" s="1">
        <f t="shared" si="117"/>
        <v>21.851851851851851</v>
      </c>
      <c r="BD40" s="1">
        <f t="shared" si="117"/>
        <v>22.222222222222221</v>
      </c>
      <c r="BE40" s="1">
        <f t="shared" si="117"/>
        <v>22.592592592592592</v>
      </c>
      <c r="BF40" s="1">
        <f t="shared" si="117"/>
        <v>22.962962962962962</v>
      </c>
      <c r="BG40" s="1">
        <f t="shared" si="117"/>
        <v>23.333333333333332</v>
      </c>
      <c r="BH40" s="1">
        <f t="shared" si="117"/>
        <v>23.703703703703702</v>
      </c>
      <c r="BI40" s="1">
        <f t="shared" si="117"/>
        <v>24.074074074074073</v>
      </c>
      <c r="BJ40" s="1">
        <f t="shared" si="117"/>
        <v>24.444444444444443</v>
      </c>
      <c r="BK40" s="1">
        <f t="shared" si="117"/>
        <v>24.814814814814813</v>
      </c>
      <c r="BL40" s="1">
        <f t="shared" si="117"/>
        <v>25.185185185185187</v>
      </c>
      <c r="BM40" s="1">
        <f t="shared" si="117"/>
        <v>25.555555555555557</v>
      </c>
      <c r="BN40" s="1">
        <f t="shared" si="117"/>
        <v>25.925925925925927</v>
      </c>
      <c r="BO40" s="1">
        <f t="shared" si="111"/>
        <v>26.296296296296298</v>
      </c>
      <c r="BP40" s="1">
        <f t="shared" si="108"/>
        <v>26.666666666666668</v>
      </c>
      <c r="BQ40" s="1">
        <f t="shared" si="108"/>
        <v>27.037037037037038</v>
      </c>
      <c r="BR40" s="1">
        <f t="shared" si="108"/>
        <v>27.407407407407408</v>
      </c>
      <c r="BS40" s="1">
        <f t="shared" si="108"/>
        <v>27.777777777777779</v>
      </c>
      <c r="BT40" s="1">
        <f t="shared" si="108"/>
        <v>28.148148148148149</v>
      </c>
      <c r="BU40" s="1">
        <f t="shared" si="108"/>
        <v>28.518518518518519</v>
      </c>
      <c r="BV40" s="1">
        <f t="shared" si="108"/>
        <v>28.888888888888889</v>
      </c>
      <c r="BW40" s="1">
        <f t="shared" si="108"/>
        <v>29.25925925925926</v>
      </c>
      <c r="BX40" s="1">
        <f t="shared" si="108"/>
        <v>29.62962962962963</v>
      </c>
      <c r="BY40" s="1">
        <f t="shared" si="108"/>
        <v>30</v>
      </c>
      <c r="BZ40" s="1">
        <f t="shared" si="108"/>
        <v>30.37037037037037</v>
      </c>
      <c r="CA40" s="1">
        <f t="shared" si="108"/>
        <v>30.74074074074074</v>
      </c>
      <c r="CB40" s="1">
        <f t="shared" si="108"/>
        <v>31.111111111111111</v>
      </c>
      <c r="CC40" s="1">
        <f t="shared" si="108"/>
        <v>31.481481481481481</v>
      </c>
      <c r="CD40" s="1">
        <f t="shared" si="108"/>
        <v>31.851851851851851</v>
      </c>
      <c r="CE40" s="1">
        <f t="shared" si="114"/>
        <v>32.222222222222221</v>
      </c>
      <c r="CF40" s="1">
        <f t="shared" si="114"/>
        <v>32.592592592592595</v>
      </c>
      <c r="CG40" s="1">
        <f t="shared" si="114"/>
        <v>32.962962962962962</v>
      </c>
      <c r="CH40" s="1">
        <f t="shared" si="114"/>
        <v>33.333333333333336</v>
      </c>
      <c r="CI40" s="1">
        <f t="shared" si="114"/>
        <v>33.703703703703702</v>
      </c>
      <c r="CJ40" s="1">
        <f t="shared" si="114"/>
        <v>34.074074074074076</v>
      </c>
      <c r="CK40" s="1">
        <f t="shared" si="114"/>
        <v>34.444444444444443</v>
      </c>
      <c r="CL40" s="1">
        <f t="shared" si="114"/>
        <v>34.814814814814817</v>
      </c>
      <c r="CM40" s="1">
        <f t="shared" si="114"/>
        <v>35.185185185185183</v>
      </c>
      <c r="CN40" s="1">
        <f t="shared" si="114"/>
        <v>35.555555555555557</v>
      </c>
      <c r="CO40" s="1">
        <f t="shared" si="114"/>
        <v>35.925925925925924</v>
      </c>
      <c r="CP40" s="1">
        <f t="shared" si="114"/>
        <v>36.296296296296298</v>
      </c>
      <c r="CQ40" s="1">
        <f t="shared" si="114"/>
        <v>36.666666666666664</v>
      </c>
      <c r="CR40" s="1">
        <f t="shared" si="114"/>
        <v>37.037037037037038</v>
      </c>
      <c r="CS40" s="1">
        <f t="shared" si="114"/>
        <v>37.407407407407405</v>
      </c>
      <c r="CT40" s="1">
        <f t="shared" si="114"/>
        <v>37.777777777777779</v>
      </c>
      <c r="CU40" s="1">
        <f t="shared" si="112"/>
        <v>38.148148148148145</v>
      </c>
      <c r="CV40" s="1">
        <f t="shared" si="106"/>
        <v>38.518518518518519</v>
      </c>
      <c r="CW40" s="1">
        <f t="shared" si="115"/>
        <v>38.888888888888886</v>
      </c>
      <c r="CX40" s="1">
        <f t="shared" si="115"/>
        <v>39.25925925925926</v>
      </c>
      <c r="CY40" s="1">
        <f t="shared" si="115"/>
        <v>39.629629629629626</v>
      </c>
      <c r="CZ40" s="1">
        <f t="shared" si="115"/>
        <v>40</v>
      </c>
      <c r="DA40" s="1">
        <f t="shared" si="115"/>
        <v>40.370370370370374</v>
      </c>
      <c r="DB40" s="1">
        <f t="shared" si="115"/>
        <v>40.74074074074074</v>
      </c>
      <c r="DC40" s="1">
        <f t="shared" si="115"/>
        <v>41.111111111111114</v>
      </c>
      <c r="DD40" s="1">
        <f t="shared" si="115"/>
        <v>41.481481481481481</v>
      </c>
      <c r="DE40" s="1">
        <f t="shared" si="115"/>
        <v>41.851851851851855</v>
      </c>
      <c r="DF40" s="1">
        <f t="shared" si="115"/>
        <v>42.222222222222221</v>
      </c>
      <c r="DG40" s="1">
        <f t="shared" si="115"/>
        <v>42.592592592592595</v>
      </c>
      <c r="DH40" s="1">
        <f t="shared" si="115"/>
        <v>42.962962962962962</v>
      </c>
      <c r="DI40" s="1">
        <f t="shared" si="115"/>
        <v>43.333333333333336</v>
      </c>
      <c r="DJ40" s="1">
        <f t="shared" si="115"/>
        <v>43.703703703703702</v>
      </c>
      <c r="DK40" s="1">
        <f t="shared" si="115"/>
        <v>44.074074074074076</v>
      </c>
      <c r="DL40" s="1">
        <f t="shared" si="115"/>
        <v>44.444444444444443</v>
      </c>
      <c r="DM40" s="1">
        <f t="shared" si="113"/>
        <v>44.814814814814817</v>
      </c>
      <c r="DN40" s="1">
        <f t="shared" si="113"/>
        <v>45.185185185185183</v>
      </c>
      <c r="DO40" s="1">
        <f t="shared" si="113"/>
        <v>45.555555555555557</v>
      </c>
      <c r="DP40" s="1">
        <f t="shared" si="113"/>
        <v>45.925925925925924</v>
      </c>
      <c r="DQ40" s="1">
        <f t="shared" si="113"/>
        <v>46.296296296296298</v>
      </c>
      <c r="DR40" s="1">
        <f t="shared" si="113"/>
        <v>46.666666666666664</v>
      </c>
      <c r="DS40" s="1">
        <f t="shared" si="113"/>
        <v>47.037037037037038</v>
      </c>
    </row>
    <row r="41" spans="1:123" x14ac:dyDescent="0.3">
      <c r="A41" s="81"/>
      <c r="B41" s="13" t="str">
        <f t="shared" si="99"/>
        <v>0x1C</v>
      </c>
      <c r="C41" s="12">
        <f t="shared" si="101"/>
        <v>28</v>
      </c>
      <c r="D41" s="1">
        <f t="shared" si="118"/>
        <v>2.8571428571428572</v>
      </c>
      <c r="E41" s="1">
        <f t="shared" si="118"/>
        <v>3.2142857142857144</v>
      </c>
      <c r="F41" s="1">
        <f t="shared" si="118"/>
        <v>3.5714285714285716</v>
      </c>
      <c r="G41" s="1">
        <f t="shared" si="118"/>
        <v>3.9285714285714284</v>
      </c>
      <c r="H41" s="1">
        <f t="shared" si="118"/>
        <v>4.2857142857142856</v>
      </c>
      <c r="I41" s="1">
        <f t="shared" si="118"/>
        <v>4.6428571428571432</v>
      </c>
      <c r="J41" s="1">
        <f t="shared" si="118"/>
        <v>5</v>
      </c>
      <c r="K41" s="1">
        <f t="shared" si="118"/>
        <v>5.3571428571428568</v>
      </c>
      <c r="L41" s="1">
        <f t="shared" si="118"/>
        <v>5.7142857142857144</v>
      </c>
      <c r="M41" s="1">
        <f t="shared" si="118"/>
        <v>6.0714285714285712</v>
      </c>
      <c r="N41" s="1">
        <f t="shared" si="118"/>
        <v>6.4285714285714288</v>
      </c>
      <c r="O41" s="1">
        <f t="shared" si="118"/>
        <v>6.7857142857142856</v>
      </c>
      <c r="P41" s="1">
        <f t="shared" si="118"/>
        <v>7.1428571428571432</v>
      </c>
      <c r="Q41" s="1">
        <f t="shared" si="118"/>
        <v>7.5</v>
      </c>
      <c r="R41" s="1">
        <f t="shared" si="118"/>
        <v>7.8571428571428568</v>
      </c>
      <c r="S41" s="1">
        <f t="shared" si="118"/>
        <v>8.2142857142857135</v>
      </c>
      <c r="T41" s="1">
        <f t="shared" si="116"/>
        <v>8.5714285714285712</v>
      </c>
      <c r="U41" s="1">
        <f t="shared" si="116"/>
        <v>8.9285714285714288</v>
      </c>
      <c r="V41" s="1">
        <f t="shared" si="116"/>
        <v>9.2857142857142865</v>
      </c>
      <c r="W41" s="1">
        <f t="shared" si="116"/>
        <v>9.6428571428571423</v>
      </c>
      <c r="X41" s="1">
        <f t="shared" si="116"/>
        <v>10</v>
      </c>
      <c r="Y41" s="1">
        <f t="shared" si="116"/>
        <v>10.357142857142858</v>
      </c>
      <c r="Z41" s="1">
        <f t="shared" si="116"/>
        <v>10.714285714285714</v>
      </c>
      <c r="AA41" s="1">
        <f t="shared" si="116"/>
        <v>11.071428571428571</v>
      </c>
      <c r="AB41" s="1">
        <f t="shared" si="120"/>
        <v>11.428571428571429</v>
      </c>
      <c r="AC41" s="1">
        <f t="shared" si="120"/>
        <v>11.785714285714286</v>
      </c>
      <c r="AD41" s="1">
        <f t="shared" si="120"/>
        <v>12.142857142857142</v>
      </c>
      <c r="AE41" s="1">
        <f t="shared" si="120"/>
        <v>12.5</v>
      </c>
      <c r="AF41" s="1">
        <f t="shared" si="120"/>
        <v>12.857142857142858</v>
      </c>
      <c r="AG41" s="1">
        <f t="shared" si="120"/>
        <v>13.214285714285714</v>
      </c>
      <c r="AH41" s="1">
        <f t="shared" si="120"/>
        <v>13.571428571428571</v>
      </c>
      <c r="AI41" s="1">
        <f t="shared" si="120"/>
        <v>13.928571428571429</v>
      </c>
      <c r="AJ41" s="1">
        <f t="shared" si="120"/>
        <v>14.285714285714286</v>
      </c>
      <c r="AK41" s="1">
        <f t="shared" si="120"/>
        <v>14.642857142857142</v>
      </c>
      <c r="AL41" s="1">
        <f t="shared" si="120"/>
        <v>15</v>
      </c>
      <c r="AM41" s="1">
        <f t="shared" si="120"/>
        <v>15.357142857142858</v>
      </c>
      <c r="AN41" s="1">
        <f t="shared" si="120"/>
        <v>15.714285714285714</v>
      </c>
      <c r="AO41" s="1">
        <f t="shared" si="120"/>
        <v>16.071428571428573</v>
      </c>
      <c r="AP41" s="1">
        <f t="shared" si="120"/>
        <v>16.428571428571427</v>
      </c>
      <c r="AQ41" s="1">
        <f t="shared" si="120"/>
        <v>16.785714285714285</v>
      </c>
      <c r="AR41" s="1">
        <f t="shared" si="119"/>
        <v>17.142857142857142</v>
      </c>
      <c r="AS41" s="1">
        <f t="shared" si="119"/>
        <v>17.5</v>
      </c>
      <c r="AT41" s="1">
        <f t="shared" si="119"/>
        <v>17.857142857142858</v>
      </c>
      <c r="AU41" s="1">
        <f t="shared" si="119"/>
        <v>18.214285714285715</v>
      </c>
      <c r="AV41" s="1">
        <f t="shared" si="119"/>
        <v>18.571428571428573</v>
      </c>
      <c r="AW41" s="1">
        <f t="shared" si="119"/>
        <v>18.928571428571427</v>
      </c>
      <c r="AX41" s="1">
        <f t="shared" si="119"/>
        <v>19.285714285714285</v>
      </c>
      <c r="AY41" s="1">
        <f t="shared" si="117"/>
        <v>19.642857142857142</v>
      </c>
      <c r="AZ41" s="1">
        <f t="shared" si="117"/>
        <v>20</v>
      </c>
      <c r="BA41" s="1">
        <f t="shared" si="117"/>
        <v>20.357142857142858</v>
      </c>
      <c r="BB41" s="1">
        <f t="shared" si="117"/>
        <v>20.714285714285715</v>
      </c>
      <c r="BC41" s="1">
        <f t="shared" si="117"/>
        <v>21.071428571428573</v>
      </c>
      <c r="BD41" s="1">
        <f t="shared" si="117"/>
        <v>21.428571428571427</v>
      </c>
      <c r="BE41" s="1">
        <f t="shared" si="117"/>
        <v>21.785714285714285</v>
      </c>
      <c r="BF41" s="1">
        <f t="shared" si="117"/>
        <v>22.142857142857142</v>
      </c>
      <c r="BG41" s="1">
        <f t="shared" si="117"/>
        <v>22.5</v>
      </c>
      <c r="BH41" s="1">
        <f t="shared" si="117"/>
        <v>22.857142857142858</v>
      </c>
      <c r="BI41" s="1">
        <f t="shared" si="117"/>
        <v>23.214285714285715</v>
      </c>
      <c r="BJ41" s="1">
        <f t="shared" si="117"/>
        <v>23.571428571428573</v>
      </c>
      <c r="BK41" s="1">
        <f t="shared" si="117"/>
        <v>23.928571428571427</v>
      </c>
      <c r="BL41" s="1">
        <f t="shared" si="117"/>
        <v>24.285714285714285</v>
      </c>
      <c r="BM41" s="1">
        <f t="shared" si="117"/>
        <v>24.642857142857142</v>
      </c>
      <c r="BN41" s="1">
        <f t="shared" si="117"/>
        <v>25</v>
      </c>
      <c r="BO41" s="1">
        <f t="shared" si="111"/>
        <v>25.357142857142858</v>
      </c>
      <c r="BP41" s="1">
        <f t="shared" si="108"/>
        <v>25.714285714285715</v>
      </c>
      <c r="BQ41" s="1">
        <f t="shared" si="108"/>
        <v>26.071428571428573</v>
      </c>
      <c r="BR41" s="1">
        <f t="shared" si="108"/>
        <v>26.428571428571427</v>
      </c>
      <c r="BS41" s="1">
        <f t="shared" si="108"/>
        <v>26.785714285714285</v>
      </c>
      <c r="BT41" s="1">
        <f t="shared" si="108"/>
        <v>27.142857142857142</v>
      </c>
      <c r="BU41" s="1">
        <f t="shared" si="108"/>
        <v>27.5</v>
      </c>
      <c r="BV41" s="1">
        <f t="shared" si="108"/>
        <v>27.857142857142858</v>
      </c>
      <c r="BW41" s="1">
        <f t="shared" si="108"/>
        <v>28.214285714285715</v>
      </c>
      <c r="BX41" s="1">
        <f t="shared" si="108"/>
        <v>28.571428571428573</v>
      </c>
      <c r="BY41" s="1">
        <f t="shared" si="108"/>
        <v>28.928571428571427</v>
      </c>
      <c r="BZ41" s="1">
        <f t="shared" si="108"/>
        <v>29.285714285714285</v>
      </c>
      <c r="CA41" s="1">
        <f t="shared" si="108"/>
        <v>29.642857142857142</v>
      </c>
      <c r="CB41" s="1">
        <f t="shared" si="108"/>
        <v>30</v>
      </c>
      <c r="CC41" s="1">
        <f t="shared" si="108"/>
        <v>30.357142857142858</v>
      </c>
      <c r="CD41" s="1">
        <f t="shared" si="108"/>
        <v>30.714285714285715</v>
      </c>
      <c r="CE41" s="1">
        <f t="shared" si="114"/>
        <v>31.071428571428573</v>
      </c>
      <c r="CF41" s="1">
        <f t="shared" si="114"/>
        <v>31.428571428571427</v>
      </c>
      <c r="CG41" s="1">
        <f t="shared" si="114"/>
        <v>31.785714285714285</v>
      </c>
      <c r="CH41" s="1">
        <f t="shared" si="114"/>
        <v>32.142857142857146</v>
      </c>
      <c r="CI41" s="1">
        <f t="shared" si="114"/>
        <v>32.5</v>
      </c>
      <c r="CJ41" s="1">
        <f t="shared" si="114"/>
        <v>32.857142857142854</v>
      </c>
      <c r="CK41" s="1">
        <f t="shared" si="114"/>
        <v>33.214285714285715</v>
      </c>
      <c r="CL41" s="1">
        <f t="shared" si="114"/>
        <v>33.571428571428569</v>
      </c>
      <c r="CM41" s="1">
        <f t="shared" si="114"/>
        <v>33.928571428571431</v>
      </c>
      <c r="CN41" s="1">
        <f t="shared" si="114"/>
        <v>34.285714285714285</v>
      </c>
      <c r="CO41" s="1">
        <f t="shared" si="114"/>
        <v>34.642857142857146</v>
      </c>
      <c r="CP41" s="1">
        <f t="shared" si="114"/>
        <v>35</v>
      </c>
      <c r="CQ41" s="1">
        <f t="shared" si="114"/>
        <v>35.357142857142854</v>
      </c>
      <c r="CR41" s="1">
        <f t="shared" si="114"/>
        <v>35.714285714285715</v>
      </c>
      <c r="CS41" s="1">
        <f t="shared" si="114"/>
        <v>36.071428571428569</v>
      </c>
      <c r="CT41" s="1">
        <f t="shared" si="114"/>
        <v>36.428571428571431</v>
      </c>
      <c r="CU41" s="1">
        <f t="shared" si="112"/>
        <v>36.785714285714285</v>
      </c>
      <c r="CV41" s="1">
        <f t="shared" si="106"/>
        <v>37.142857142857146</v>
      </c>
      <c r="CW41" s="1">
        <f t="shared" si="115"/>
        <v>37.5</v>
      </c>
      <c r="CX41" s="1">
        <f t="shared" si="115"/>
        <v>37.857142857142854</v>
      </c>
      <c r="CY41" s="1">
        <f t="shared" si="115"/>
        <v>38.214285714285715</v>
      </c>
      <c r="CZ41" s="1">
        <f t="shared" si="115"/>
        <v>38.571428571428569</v>
      </c>
      <c r="DA41" s="1">
        <f t="shared" si="115"/>
        <v>38.928571428571431</v>
      </c>
      <c r="DB41" s="1">
        <f t="shared" si="115"/>
        <v>39.285714285714285</v>
      </c>
      <c r="DC41" s="1">
        <f t="shared" si="115"/>
        <v>39.642857142857146</v>
      </c>
      <c r="DD41" s="1">
        <f t="shared" si="115"/>
        <v>40</v>
      </c>
      <c r="DE41" s="1">
        <f t="shared" si="115"/>
        <v>40.357142857142854</v>
      </c>
      <c r="DF41" s="1">
        <f t="shared" si="115"/>
        <v>40.714285714285715</v>
      </c>
      <c r="DG41" s="1">
        <f t="shared" si="115"/>
        <v>41.071428571428569</v>
      </c>
      <c r="DH41" s="1">
        <f t="shared" si="115"/>
        <v>41.428571428571431</v>
      </c>
      <c r="DI41" s="1">
        <f t="shared" si="115"/>
        <v>41.785714285714285</v>
      </c>
      <c r="DJ41" s="1">
        <f t="shared" si="115"/>
        <v>42.142857142857146</v>
      </c>
      <c r="DK41" s="1">
        <f t="shared" si="115"/>
        <v>42.5</v>
      </c>
      <c r="DL41" s="1">
        <f t="shared" si="115"/>
        <v>42.857142857142854</v>
      </c>
      <c r="DM41" s="1">
        <f t="shared" si="113"/>
        <v>43.214285714285715</v>
      </c>
      <c r="DN41" s="1">
        <f t="shared" si="113"/>
        <v>43.571428571428569</v>
      </c>
      <c r="DO41" s="1">
        <f t="shared" si="113"/>
        <v>43.928571428571431</v>
      </c>
      <c r="DP41" s="1">
        <f t="shared" si="113"/>
        <v>44.285714285714285</v>
      </c>
      <c r="DQ41" s="1">
        <f t="shared" si="113"/>
        <v>44.642857142857146</v>
      </c>
      <c r="DR41" s="1">
        <f t="shared" si="113"/>
        <v>45</v>
      </c>
      <c r="DS41" s="1">
        <f t="shared" si="113"/>
        <v>45.357142857142854</v>
      </c>
    </row>
    <row r="42" spans="1:123" x14ac:dyDescent="0.3">
      <c r="A42" s="81"/>
      <c r="B42" s="13" t="str">
        <f t="shared" si="99"/>
        <v>0x1D</v>
      </c>
      <c r="C42" s="12">
        <f t="shared" si="101"/>
        <v>29</v>
      </c>
      <c r="D42" s="1">
        <f t="shared" si="118"/>
        <v>2.7586206896551726</v>
      </c>
      <c r="E42" s="1">
        <f t="shared" si="118"/>
        <v>3.103448275862069</v>
      </c>
      <c r="F42" s="1">
        <f t="shared" si="118"/>
        <v>3.4482758620689653</v>
      </c>
      <c r="G42" s="1">
        <f t="shared" si="118"/>
        <v>3.7931034482758621</v>
      </c>
      <c r="H42" s="1">
        <f t="shared" si="118"/>
        <v>4.1379310344827589</v>
      </c>
      <c r="I42" s="1">
        <f t="shared" si="118"/>
        <v>4.4827586206896548</v>
      </c>
      <c r="J42" s="1">
        <f t="shared" si="118"/>
        <v>4.8275862068965516</v>
      </c>
      <c r="K42" s="1">
        <f t="shared" si="118"/>
        <v>5.1724137931034484</v>
      </c>
      <c r="L42" s="1">
        <f t="shared" si="118"/>
        <v>5.5172413793103452</v>
      </c>
      <c r="M42" s="1">
        <f t="shared" si="118"/>
        <v>5.8620689655172411</v>
      </c>
      <c r="N42" s="1">
        <f t="shared" si="118"/>
        <v>6.2068965517241379</v>
      </c>
      <c r="O42" s="1">
        <f t="shared" si="118"/>
        <v>6.5517241379310347</v>
      </c>
      <c r="P42" s="1">
        <f t="shared" si="118"/>
        <v>6.8965517241379306</v>
      </c>
      <c r="Q42" s="1">
        <f t="shared" si="118"/>
        <v>7.2413793103448274</v>
      </c>
      <c r="R42" s="1">
        <f t="shared" si="118"/>
        <v>7.5862068965517242</v>
      </c>
      <c r="S42" s="1">
        <f t="shared" si="118"/>
        <v>7.931034482758621</v>
      </c>
      <c r="T42" s="1">
        <f t="shared" si="116"/>
        <v>8.2758620689655178</v>
      </c>
      <c r="U42" s="1">
        <f t="shared" si="116"/>
        <v>8.6206896551724146</v>
      </c>
      <c r="V42" s="1">
        <f t="shared" si="116"/>
        <v>8.9655172413793096</v>
      </c>
      <c r="W42" s="1">
        <f t="shared" si="116"/>
        <v>9.3103448275862064</v>
      </c>
      <c r="X42" s="1">
        <f t="shared" si="116"/>
        <v>9.6551724137931032</v>
      </c>
      <c r="Y42" s="1">
        <f t="shared" si="116"/>
        <v>10</v>
      </c>
      <c r="Z42" s="1">
        <f t="shared" si="116"/>
        <v>10.344827586206897</v>
      </c>
      <c r="AA42" s="1">
        <f t="shared" si="116"/>
        <v>10.689655172413794</v>
      </c>
      <c r="AB42" s="1">
        <f t="shared" si="120"/>
        <v>11.03448275862069</v>
      </c>
      <c r="AC42" s="1">
        <f t="shared" si="120"/>
        <v>11.379310344827585</v>
      </c>
      <c r="AD42" s="1">
        <f t="shared" si="120"/>
        <v>11.724137931034482</v>
      </c>
      <c r="AE42" s="1">
        <f t="shared" si="120"/>
        <v>12.068965517241379</v>
      </c>
      <c r="AF42" s="1">
        <f t="shared" si="120"/>
        <v>12.413793103448276</v>
      </c>
      <c r="AG42" s="1">
        <f t="shared" si="120"/>
        <v>12.758620689655173</v>
      </c>
      <c r="AH42" s="1">
        <f t="shared" si="120"/>
        <v>13.103448275862069</v>
      </c>
      <c r="AI42" s="1">
        <f t="shared" si="120"/>
        <v>13.448275862068966</v>
      </c>
      <c r="AJ42" s="1">
        <f t="shared" si="120"/>
        <v>13.793103448275861</v>
      </c>
      <c r="AK42" s="1">
        <f t="shared" si="120"/>
        <v>14.137931034482758</v>
      </c>
      <c r="AL42" s="1">
        <f t="shared" si="120"/>
        <v>14.482758620689655</v>
      </c>
      <c r="AM42" s="1">
        <f t="shared" si="120"/>
        <v>14.827586206896552</v>
      </c>
      <c r="AN42" s="1">
        <f t="shared" si="120"/>
        <v>15.172413793103448</v>
      </c>
      <c r="AO42" s="1">
        <f t="shared" si="120"/>
        <v>15.517241379310345</v>
      </c>
      <c r="AP42" s="1">
        <f t="shared" si="120"/>
        <v>15.862068965517242</v>
      </c>
      <c r="AQ42" s="1">
        <f t="shared" si="120"/>
        <v>16.206896551724139</v>
      </c>
      <c r="AR42" s="1">
        <f t="shared" si="119"/>
        <v>16.551724137931036</v>
      </c>
      <c r="AS42" s="1">
        <f t="shared" si="119"/>
        <v>16.896551724137932</v>
      </c>
      <c r="AT42" s="1">
        <f t="shared" si="119"/>
        <v>17.241379310344829</v>
      </c>
      <c r="AU42" s="1">
        <f t="shared" si="119"/>
        <v>17.586206896551722</v>
      </c>
      <c r="AV42" s="1">
        <f t="shared" si="119"/>
        <v>17.931034482758619</v>
      </c>
      <c r="AW42" s="1">
        <f t="shared" si="119"/>
        <v>18.275862068965516</v>
      </c>
      <c r="AX42" s="1">
        <f t="shared" si="119"/>
        <v>18.620689655172413</v>
      </c>
      <c r="AY42" s="1">
        <f t="shared" si="117"/>
        <v>18.96551724137931</v>
      </c>
      <c r="AZ42" s="1">
        <f t="shared" si="117"/>
        <v>19.310344827586206</v>
      </c>
      <c r="BA42" s="1">
        <f t="shared" si="117"/>
        <v>19.655172413793103</v>
      </c>
      <c r="BB42" s="1">
        <f t="shared" si="117"/>
        <v>20</v>
      </c>
      <c r="BC42" s="1">
        <f t="shared" si="117"/>
        <v>20.344827586206897</v>
      </c>
      <c r="BD42" s="1">
        <f t="shared" si="117"/>
        <v>20.689655172413794</v>
      </c>
      <c r="BE42" s="1">
        <f t="shared" si="117"/>
        <v>21.03448275862069</v>
      </c>
      <c r="BF42" s="1">
        <f t="shared" si="117"/>
        <v>21.379310344827587</v>
      </c>
      <c r="BG42" s="1">
        <f t="shared" si="117"/>
        <v>21.724137931034484</v>
      </c>
      <c r="BH42" s="1">
        <f t="shared" si="117"/>
        <v>22.068965517241381</v>
      </c>
      <c r="BI42" s="1">
        <f t="shared" si="117"/>
        <v>22.413793103448278</v>
      </c>
      <c r="BJ42" s="1">
        <f t="shared" si="117"/>
        <v>22.758620689655171</v>
      </c>
      <c r="BK42" s="1">
        <f t="shared" si="117"/>
        <v>23.103448275862068</v>
      </c>
      <c r="BL42" s="1">
        <f t="shared" si="117"/>
        <v>23.448275862068964</v>
      </c>
      <c r="BM42" s="1">
        <f t="shared" si="117"/>
        <v>23.793103448275861</v>
      </c>
      <c r="BN42" s="1">
        <f t="shared" si="117"/>
        <v>24.137931034482758</v>
      </c>
      <c r="BO42" s="1">
        <f t="shared" si="111"/>
        <v>24.482758620689655</v>
      </c>
      <c r="BP42" s="1">
        <f t="shared" si="108"/>
        <v>24.827586206896552</v>
      </c>
      <c r="BQ42" s="1">
        <f t="shared" si="108"/>
        <v>25.172413793103448</v>
      </c>
      <c r="BR42" s="1">
        <f t="shared" si="108"/>
        <v>25.517241379310345</v>
      </c>
      <c r="BS42" s="1">
        <f t="shared" si="108"/>
        <v>25.862068965517242</v>
      </c>
      <c r="BT42" s="1">
        <f t="shared" si="108"/>
        <v>26.206896551724139</v>
      </c>
      <c r="BU42" s="1">
        <f t="shared" si="108"/>
        <v>26.551724137931036</v>
      </c>
      <c r="BV42" s="1">
        <f t="shared" si="108"/>
        <v>26.896551724137932</v>
      </c>
      <c r="BW42" s="1">
        <f t="shared" si="108"/>
        <v>27.241379310344829</v>
      </c>
      <c r="BX42" s="1">
        <f t="shared" si="108"/>
        <v>27.586206896551722</v>
      </c>
      <c r="BY42" s="1">
        <f t="shared" si="108"/>
        <v>27.931034482758619</v>
      </c>
      <c r="BZ42" s="1">
        <f t="shared" si="108"/>
        <v>28.275862068965516</v>
      </c>
      <c r="CA42" s="1">
        <f t="shared" si="108"/>
        <v>28.620689655172413</v>
      </c>
      <c r="CB42" s="1">
        <f t="shared" si="108"/>
        <v>28.96551724137931</v>
      </c>
      <c r="CC42" s="1">
        <f t="shared" si="108"/>
        <v>29.310344827586206</v>
      </c>
      <c r="CD42" s="1">
        <f t="shared" si="108"/>
        <v>29.655172413793103</v>
      </c>
      <c r="CE42" s="1">
        <f t="shared" si="114"/>
        <v>30</v>
      </c>
      <c r="CF42" s="1">
        <f t="shared" si="114"/>
        <v>30.344827586206897</v>
      </c>
      <c r="CG42" s="1">
        <f t="shared" si="114"/>
        <v>30.689655172413794</v>
      </c>
      <c r="CH42" s="1">
        <f t="shared" si="114"/>
        <v>31.03448275862069</v>
      </c>
      <c r="CI42" s="1">
        <f t="shared" si="114"/>
        <v>31.379310344827587</v>
      </c>
      <c r="CJ42" s="1">
        <f t="shared" si="114"/>
        <v>31.724137931034484</v>
      </c>
      <c r="CK42" s="1">
        <f t="shared" si="114"/>
        <v>32.068965517241381</v>
      </c>
      <c r="CL42" s="1">
        <f t="shared" si="114"/>
        <v>32.413793103448278</v>
      </c>
      <c r="CM42" s="1">
        <f t="shared" si="114"/>
        <v>32.758620689655174</v>
      </c>
      <c r="CN42" s="1">
        <f t="shared" si="114"/>
        <v>33.103448275862071</v>
      </c>
      <c r="CO42" s="1">
        <f t="shared" si="114"/>
        <v>33.448275862068968</v>
      </c>
      <c r="CP42" s="1">
        <f t="shared" si="114"/>
        <v>33.793103448275865</v>
      </c>
      <c r="CQ42" s="1">
        <f t="shared" si="114"/>
        <v>34.137931034482762</v>
      </c>
      <c r="CR42" s="1">
        <f t="shared" si="114"/>
        <v>34.482758620689658</v>
      </c>
      <c r="CS42" s="1">
        <f t="shared" si="114"/>
        <v>34.827586206896555</v>
      </c>
      <c r="CT42" s="1">
        <f t="shared" si="114"/>
        <v>35.172413793103445</v>
      </c>
      <c r="CU42" s="1">
        <f t="shared" si="112"/>
        <v>35.517241379310342</v>
      </c>
      <c r="CV42" s="1">
        <f t="shared" si="106"/>
        <v>35.862068965517238</v>
      </c>
      <c r="CW42" s="1">
        <f t="shared" si="115"/>
        <v>36.206896551724135</v>
      </c>
      <c r="CX42" s="1">
        <f t="shared" si="115"/>
        <v>36.551724137931032</v>
      </c>
      <c r="CY42" s="1">
        <f t="shared" si="115"/>
        <v>36.896551724137929</v>
      </c>
      <c r="CZ42" s="1">
        <f t="shared" si="115"/>
        <v>37.241379310344826</v>
      </c>
      <c r="DA42" s="1">
        <f t="shared" si="115"/>
        <v>37.586206896551722</v>
      </c>
      <c r="DB42" s="1">
        <f t="shared" si="115"/>
        <v>37.931034482758619</v>
      </c>
      <c r="DC42" s="1">
        <f t="shared" si="115"/>
        <v>38.275862068965516</v>
      </c>
      <c r="DD42" s="1">
        <f t="shared" si="115"/>
        <v>38.620689655172413</v>
      </c>
      <c r="DE42" s="1">
        <f t="shared" si="115"/>
        <v>38.96551724137931</v>
      </c>
      <c r="DF42" s="1">
        <f t="shared" si="115"/>
        <v>39.310344827586206</v>
      </c>
      <c r="DG42" s="1">
        <f t="shared" si="115"/>
        <v>39.655172413793103</v>
      </c>
      <c r="DH42" s="1">
        <f t="shared" si="115"/>
        <v>40</v>
      </c>
      <c r="DI42" s="1">
        <f t="shared" si="115"/>
        <v>40.344827586206897</v>
      </c>
      <c r="DJ42" s="1">
        <f t="shared" si="115"/>
        <v>40.689655172413794</v>
      </c>
      <c r="DK42" s="1">
        <f t="shared" si="115"/>
        <v>41.03448275862069</v>
      </c>
      <c r="DL42" s="1">
        <f t="shared" si="115"/>
        <v>41.379310344827587</v>
      </c>
      <c r="DM42" s="1">
        <f t="shared" si="113"/>
        <v>41.724137931034484</v>
      </c>
      <c r="DN42" s="1">
        <f t="shared" si="113"/>
        <v>42.068965517241381</v>
      </c>
      <c r="DO42" s="1">
        <f t="shared" si="113"/>
        <v>42.413793103448278</v>
      </c>
      <c r="DP42" s="1">
        <f t="shared" si="113"/>
        <v>42.758620689655174</v>
      </c>
      <c r="DQ42" s="1">
        <f t="shared" si="113"/>
        <v>43.103448275862071</v>
      </c>
      <c r="DR42" s="1">
        <f t="shared" si="113"/>
        <v>43.448275862068968</v>
      </c>
      <c r="DS42" s="1">
        <f t="shared" si="113"/>
        <v>43.793103448275865</v>
      </c>
    </row>
    <row r="43" spans="1:123" x14ac:dyDescent="0.3">
      <c r="A43" s="81"/>
      <c r="B43" s="13" t="str">
        <f t="shared" si="99"/>
        <v>0x1E</v>
      </c>
      <c r="C43" s="12">
        <f t="shared" si="101"/>
        <v>30</v>
      </c>
      <c r="D43" s="1">
        <f t="shared" si="118"/>
        <v>2.6666666666666665</v>
      </c>
      <c r="E43" s="1">
        <f t="shared" si="118"/>
        <v>3</v>
      </c>
      <c r="F43" s="1">
        <f t="shared" si="118"/>
        <v>3.3333333333333335</v>
      </c>
      <c r="G43" s="1">
        <f t="shared" si="118"/>
        <v>3.6666666666666665</v>
      </c>
      <c r="H43" s="1">
        <f t="shared" si="118"/>
        <v>4</v>
      </c>
      <c r="I43" s="1">
        <f t="shared" si="118"/>
        <v>4.333333333333333</v>
      </c>
      <c r="J43" s="1">
        <f t="shared" si="118"/>
        <v>4.666666666666667</v>
      </c>
      <c r="K43" s="1">
        <f t="shared" si="118"/>
        <v>5</v>
      </c>
      <c r="L43" s="1">
        <f t="shared" si="118"/>
        <v>5.333333333333333</v>
      </c>
      <c r="M43" s="1">
        <f t="shared" si="118"/>
        <v>5.666666666666667</v>
      </c>
      <c r="N43" s="1">
        <f t="shared" si="118"/>
        <v>6</v>
      </c>
      <c r="O43" s="1">
        <f t="shared" si="118"/>
        <v>6.333333333333333</v>
      </c>
      <c r="P43" s="1">
        <f t="shared" si="118"/>
        <v>6.666666666666667</v>
      </c>
      <c r="Q43" s="1">
        <f t="shared" si="118"/>
        <v>7</v>
      </c>
      <c r="R43" s="1">
        <f t="shared" si="118"/>
        <v>7.333333333333333</v>
      </c>
      <c r="S43" s="1">
        <f t="shared" si="118"/>
        <v>7.666666666666667</v>
      </c>
      <c r="T43" s="1">
        <f t="shared" si="116"/>
        <v>8</v>
      </c>
      <c r="U43" s="1">
        <f t="shared" si="116"/>
        <v>8.3333333333333339</v>
      </c>
      <c r="V43" s="1">
        <f t="shared" si="116"/>
        <v>8.6666666666666661</v>
      </c>
      <c r="W43" s="1">
        <f t="shared" si="116"/>
        <v>9</v>
      </c>
      <c r="X43" s="1">
        <f t="shared" si="116"/>
        <v>9.3333333333333339</v>
      </c>
      <c r="Y43" s="1">
        <f t="shared" si="116"/>
        <v>9.6666666666666661</v>
      </c>
      <c r="Z43" s="1">
        <f t="shared" si="116"/>
        <v>10</v>
      </c>
      <c r="AA43" s="1">
        <f t="shared" si="116"/>
        <v>10.333333333333334</v>
      </c>
      <c r="AB43" s="1">
        <f t="shared" si="120"/>
        <v>10.666666666666666</v>
      </c>
      <c r="AC43" s="1">
        <f t="shared" si="120"/>
        <v>11</v>
      </c>
      <c r="AD43" s="1">
        <f t="shared" si="120"/>
        <v>11.333333333333334</v>
      </c>
      <c r="AE43" s="1">
        <f t="shared" si="120"/>
        <v>11.666666666666666</v>
      </c>
      <c r="AF43" s="1">
        <f t="shared" si="120"/>
        <v>12</v>
      </c>
      <c r="AG43" s="1">
        <f t="shared" si="120"/>
        <v>12.333333333333334</v>
      </c>
      <c r="AH43" s="1">
        <f t="shared" si="120"/>
        <v>12.666666666666666</v>
      </c>
      <c r="AI43" s="1">
        <f t="shared" si="120"/>
        <v>13</v>
      </c>
      <c r="AJ43" s="1">
        <f t="shared" si="120"/>
        <v>13.333333333333334</v>
      </c>
      <c r="AK43" s="1">
        <f t="shared" si="120"/>
        <v>13.666666666666666</v>
      </c>
      <c r="AL43" s="1">
        <f t="shared" si="120"/>
        <v>14</v>
      </c>
      <c r="AM43" s="1">
        <f t="shared" si="120"/>
        <v>14.333333333333334</v>
      </c>
      <c r="AN43" s="1">
        <f t="shared" si="120"/>
        <v>14.666666666666666</v>
      </c>
      <c r="AO43" s="1">
        <f t="shared" si="120"/>
        <v>15</v>
      </c>
      <c r="AP43" s="1">
        <f t="shared" si="120"/>
        <v>15.333333333333334</v>
      </c>
      <c r="AQ43" s="1">
        <f t="shared" si="120"/>
        <v>15.666666666666666</v>
      </c>
      <c r="AR43" s="1">
        <f t="shared" si="119"/>
        <v>16</v>
      </c>
      <c r="AS43" s="1">
        <f t="shared" si="119"/>
        <v>16.333333333333332</v>
      </c>
      <c r="AT43" s="1">
        <f t="shared" si="119"/>
        <v>16.666666666666668</v>
      </c>
      <c r="AU43" s="1">
        <f t="shared" si="119"/>
        <v>17</v>
      </c>
      <c r="AV43" s="1">
        <f t="shared" si="119"/>
        <v>17.333333333333332</v>
      </c>
      <c r="AW43" s="1">
        <f t="shared" si="119"/>
        <v>17.666666666666668</v>
      </c>
      <c r="AX43" s="1">
        <f t="shared" si="119"/>
        <v>18</v>
      </c>
      <c r="AY43" s="1">
        <f t="shared" si="117"/>
        <v>18.333333333333332</v>
      </c>
      <c r="AZ43" s="1">
        <f t="shared" si="117"/>
        <v>18.666666666666668</v>
      </c>
      <c r="BA43" s="1">
        <f t="shared" si="117"/>
        <v>19</v>
      </c>
      <c r="BB43" s="1">
        <f t="shared" si="117"/>
        <v>19.333333333333332</v>
      </c>
      <c r="BC43" s="1">
        <f t="shared" si="117"/>
        <v>19.666666666666668</v>
      </c>
      <c r="BD43" s="1">
        <f t="shared" si="117"/>
        <v>20</v>
      </c>
      <c r="BE43" s="1">
        <f t="shared" si="117"/>
        <v>20.333333333333332</v>
      </c>
      <c r="BF43" s="1">
        <f t="shared" si="117"/>
        <v>20.666666666666668</v>
      </c>
      <c r="BG43" s="1">
        <f t="shared" si="117"/>
        <v>21</v>
      </c>
      <c r="BH43" s="1">
        <f t="shared" si="117"/>
        <v>21.333333333333332</v>
      </c>
      <c r="BI43" s="1">
        <f t="shared" si="117"/>
        <v>21.666666666666668</v>
      </c>
      <c r="BJ43" s="1">
        <f t="shared" si="117"/>
        <v>22</v>
      </c>
      <c r="BK43" s="1">
        <f t="shared" si="117"/>
        <v>22.333333333333332</v>
      </c>
      <c r="BL43" s="1">
        <f t="shared" si="117"/>
        <v>22.666666666666668</v>
      </c>
      <c r="BM43" s="1">
        <f t="shared" si="117"/>
        <v>23</v>
      </c>
      <c r="BN43" s="1">
        <f t="shared" si="117"/>
        <v>23.333333333333332</v>
      </c>
      <c r="BO43" s="1">
        <f t="shared" si="111"/>
        <v>23.666666666666668</v>
      </c>
      <c r="BP43" s="1">
        <f t="shared" si="108"/>
        <v>24</v>
      </c>
      <c r="BQ43" s="1">
        <f t="shared" si="108"/>
        <v>24.333333333333332</v>
      </c>
      <c r="BR43" s="1">
        <f t="shared" si="108"/>
        <v>24.666666666666668</v>
      </c>
      <c r="BS43" s="1">
        <f t="shared" si="108"/>
        <v>25</v>
      </c>
      <c r="BT43" s="1">
        <f t="shared" si="108"/>
        <v>25.333333333333332</v>
      </c>
      <c r="BU43" s="1">
        <f t="shared" si="108"/>
        <v>25.666666666666668</v>
      </c>
      <c r="BV43" s="1">
        <f t="shared" si="108"/>
        <v>26</v>
      </c>
      <c r="BW43" s="1">
        <f t="shared" si="108"/>
        <v>26.333333333333332</v>
      </c>
      <c r="BX43" s="1">
        <f t="shared" si="108"/>
        <v>26.666666666666668</v>
      </c>
      <c r="BY43" s="1">
        <f t="shared" si="108"/>
        <v>27</v>
      </c>
      <c r="BZ43" s="1">
        <f t="shared" si="108"/>
        <v>27.333333333333332</v>
      </c>
      <c r="CA43" s="1">
        <f t="shared" si="108"/>
        <v>27.666666666666668</v>
      </c>
      <c r="CB43" s="1">
        <f t="shared" si="108"/>
        <v>28</v>
      </c>
      <c r="CC43" s="1">
        <f t="shared" si="108"/>
        <v>28.333333333333332</v>
      </c>
      <c r="CD43" s="1">
        <f t="shared" si="108"/>
        <v>28.666666666666668</v>
      </c>
      <c r="CE43" s="1">
        <f t="shared" si="114"/>
        <v>29</v>
      </c>
      <c r="CF43" s="1">
        <f t="shared" si="114"/>
        <v>29.333333333333332</v>
      </c>
      <c r="CG43" s="1">
        <f t="shared" si="114"/>
        <v>29.666666666666668</v>
      </c>
      <c r="CH43" s="1">
        <f t="shared" si="114"/>
        <v>30</v>
      </c>
      <c r="CI43" s="1">
        <f t="shared" si="114"/>
        <v>30.333333333333332</v>
      </c>
      <c r="CJ43" s="1">
        <f t="shared" si="114"/>
        <v>30.666666666666668</v>
      </c>
      <c r="CK43" s="1">
        <f t="shared" si="114"/>
        <v>31</v>
      </c>
      <c r="CL43" s="1">
        <f t="shared" si="114"/>
        <v>31.333333333333332</v>
      </c>
      <c r="CM43" s="1">
        <f t="shared" si="114"/>
        <v>31.666666666666668</v>
      </c>
      <c r="CN43" s="1">
        <f t="shared" si="114"/>
        <v>32</v>
      </c>
      <c r="CO43" s="1">
        <f t="shared" si="114"/>
        <v>32.333333333333336</v>
      </c>
      <c r="CP43" s="1">
        <f t="shared" si="114"/>
        <v>32.666666666666664</v>
      </c>
      <c r="CQ43" s="1">
        <f t="shared" si="114"/>
        <v>33</v>
      </c>
      <c r="CR43" s="1">
        <f t="shared" si="114"/>
        <v>33.333333333333336</v>
      </c>
      <c r="CS43" s="1">
        <f t="shared" si="114"/>
        <v>33.666666666666664</v>
      </c>
      <c r="CT43" s="1">
        <f t="shared" si="114"/>
        <v>34</v>
      </c>
      <c r="CU43" s="1">
        <f t="shared" si="112"/>
        <v>34.333333333333336</v>
      </c>
      <c r="CV43" s="1">
        <f t="shared" si="106"/>
        <v>34.666666666666664</v>
      </c>
      <c r="CW43" s="1">
        <f t="shared" si="115"/>
        <v>35</v>
      </c>
      <c r="CX43" s="1">
        <f t="shared" si="115"/>
        <v>35.333333333333336</v>
      </c>
      <c r="CY43" s="1">
        <f t="shared" si="115"/>
        <v>35.666666666666664</v>
      </c>
      <c r="CZ43" s="1">
        <f t="shared" si="115"/>
        <v>36</v>
      </c>
      <c r="DA43" s="1">
        <f t="shared" si="115"/>
        <v>36.333333333333336</v>
      </c>
      <c r="DB43" s="1">
        <f t="shared" si="115"/>
        <v>36.666666666666664</v>
      </c>
      <c r="DC43" s="1">
        <f t="shared" si="115"/>
        <v>37</v>
      </c>
      <c r="DD43" s="1">
        <f t="shared" si="115"/>
        <v>37.333333333333336</v>
      </c>
      <c r="DE43" s="1">
        <f t="shared" si="115"/>
        <v>37.666666666666664</v>
      </c>
      <c r="DF43" s="1">
        <f t="shared" si="115"/>
        <v>38</v>
      </c>
      <c r="DG43" s="1">
        <f t="shared" si="115"/>
        <v>38.333333333333336</v>
      </c>
      <c r="DH43" s="1">
        <f t="shared" si="115"/>
        <v>38.666666666666664</v>
      </c>
      <c r="DI43" s="1">
        <f t="shared" si="115"/>
        <v>39</v>
      </c>
      <c r="DJ43" s="1">
        <f t="shared" si="115"/>
        <v>39.333333333333336</v>
      </c>
      <c r="DK43" s="1">
        <f t="shared" si="115"/>
        <v>39.666666666666664</v>
      </c>
      <c r="DL43" s="1">
        <f t="shared" si="115"/>
        <v>40</v>
      </c>
      <c r="DM43" s="1">
        <f t="shared" si="113"/>
        <v>40.333333333333336</v>
      </c>
      <c r="DN43" s="1">
        <f t="shared" si="113"/>
        <v>40.666666666666664</v>
      </c>
      <c r="DO43" s="1">
        <f t="shared" si="113"/>
        <v>41</v>
      </c>
      <c r="DP43" s="1">
        <f t="shared" si="113"/>
        <v>41.333333333333336</v>
      </c>
      <c r="DQ43" s="1">
        <f t="shared" si="113"/>
        <v>41.666666666666664</v>
      </c>
      <c r="DR43" s="1">
        <f t="shared" si="113"/>
        <v>42</v>
      </c>
      <c r="DS43" s="1">
        <f t="shared" si="113"/>
        <v>42.333333333333336</v>
      </c>
    </row>
    <row r="44" spans="1:123" x14ac:dyDescent="0.3">
      <c r="A44" s="81"/>
      <c r="B44" s="13" t="str">
        <f t="shared" si="99"/>
        <v>0x1F</v>
      </c>
      <c r="C44" s="12">
        <f t="shared" si="101"/>
        <v>31</v>
      </c>
      <c r="D44" s="1">
        <f t="shared" si="118"/>
        <v>2.5806451612903225</v>
      </c>
      <c r="E44" s="1">
        <f t="shared" si="118"/>
        <v>2.903225806451613</v>
      </c>
      <c r="F44" s="1">
        <f t="shared" si="118"/>
        <v>3.225806451612903</v>
      </c>
      <c r="G44" s="1">
        <f t="shared" si="118"/>
        <v>3.5483870967741935</v>
      </c>
      <c r="H44" s="1">
        <f t="shared" si="118"/>
        <v>3.870967741935484</v>
      </c>
      <c r="I44" s="1">
        <f t="shared" si="118"/>
        <v>4.193548387096774</v>
      </c>
      <c r="J44" s="1">
        <f t="shared" si="118"/>
        <v>4.5161290322580649</v>
      </c>
      <c r="K44" s="1">
        <f t="shared" si="118"/>
        <v>4.838709677419355</v>
      </c>
      <c r="L44" s="1">
        <f t="shared" si="118"/>
        <v>5.161290322580645</v>
      </c>
      <c r="M44" s="1">
        <f t="shared" si="118"/>
        <v>5.4838709677419351</v>
      </c>
      <c r="N44" s="1">
        <f t="shared" si="118"/>
        <v>5.806451612903226</v>
      </c>
      <c r="O44" s="1">
        <f t="shared" si="118"/>
        <v>6.129032258064516</v>
      </c>
      <c r="P44" s="1">
        <f t="shared" si="118"/>
        <v>6.4516129032258061</v>
      </c>
      <c r="Q44" s="1">
        <f t="shared" si="118"/>
        <v>6.774193548387097</v>
      </c>
      <c r="R44" s="1">
        <f t="shared" si="118"/>
        <v>7.096774193548387</v>
      </c>
      <c r="S44" s="1">
        <f t="shared" si="118"/>
        <v>7.419354838709677</v>
      </c>
      <c r="T44" s="1">
        <f t="shared" si="116"/>
        <v>7.741935483870968</v>
      </c>
      <c r="U44" s="1">
        <f t="shared" si="116"/>
        <v>8.064516129032258</v>
      </c>
      <c r="V44" s="1">
        <f t="shared" si="116"/>
        <v>8.387096774193548</v>
      </c>
      <c r="W44" s="1">
        <f t="shared" si="116"/>
        <v>8.7096774193548381</v>
      </c>
      <c r="X44" s="1">
        <f t="shared" si="116"/>
        <v>9.0322580645161299</v>
      </c>
      <c r="Y44" s="1">
        <f t="shared" si="116"/>
        <v>9.3548387096774199</v>
      </c>
      <c r="Z44" s="1">
        <f t="shared" si="116"/>
        <v>9.67741935483871</v>
      </c>
      <c r="AA44" s="1">
        <f t="shared" si="116"/>
        <v>10</v>
      </c>
      <c r="AB44" s="1">
        <f t="shared" si="120"/>
        <v>10.32258064516129</v>
      </c>
      <c r="AC44" s="1">
        <f t="shared" si="120"/>
        <v>10.64516129032258</v>
      </c>
      <c r="AD44" s="1">
        <f t="shared" si="120"/>
        <v>10.96774193548387</v>
      </c>
      <c r="AE44" s="1">
        <f t="shared" si="120"/>
        <v>11.290322580645162</v>
      </c>
      <c r="AF44" s="1">
        <f t="shared" si="120"/>
        <v>11.612903225806452</v>
      </c>
      <c r="AG44" s="1">
        <f t="shared" si="120"/>
        <v>11.935483870967742</v>
      </c>
      <c r="AH44" s="1">
        <f t="shared" si="120"/>
        <v>12.258064516129032</v>
      </c>
      <c r="AI44" s="1">
        <f t="shared" si="120"/>
        <v>12.580645161290322</v>
      </c>
      <c r="AJ44" s="1">
        <f t="shared" si="120"/>
        <v>12.903225806451612</v>
      </c>
      <c r="AK44" s="1">
        <f t="shared" si="120"/>
        <v>13.225806451612904</v>
      </c>
      <c r="AL44" s="1">
        <f t="shared" si="120"/>
        <v>13.548387096774194</v>
      </c>
      <c r="AM44" s="1">
        <f t="shared" si="120"/>
        <v>13.870967741935484</v>
      </c>
      <c r="AN44" s="1">
        <f t="shared" si="120"/>
        <v>14.193548387096774</v>
      </c>
      <c r="AO44" s="1">
        <f t="shared" si="120"/>
        <v>14.516129032258064</v>
      </c>
      <c r="AP44" s="1">
        <f t="shared" si="120"/>
        <v>14.838709677419354</v>
      </c>
      <c r="AQ44" s="1">
        <f t="shared" si="120"/>
        <v>15.161290322580646</v>
      </c>
      <c r="AR44" s="1">
        <f t="shared" si="119"/>
        <v>15.483870967741936</v>
      </c>
      <c r="AS44" s="1">
        <f t="shared" si="119"/>
        <v>15.806451612903226</v>
      </c>
      <c r="AT44" s="1">
        <f t="shared" si="119"/>
        <v>16.129032258064516</v>
      </c>
      <c r="AU44" s="1">
        <f t="shared" si="119"/>
        <v>16.451612903225808</v>
      </c>
      <c r="AV44" s="1">
        <f t="shared" si="119"/>
        <v>16.774193548387096</v>
      </c>
      <c r="AW44" s="1">
        <f t="shared" si="119"/>
        <v>17.096774193548388</v>
      </c>
      <c r="AX44" s="1">
        <f t="shared" si="119"/>
        <v>17.419354838709676</v>
      </c>
      <c r="AY44" s="1">
        <f t="shared" si="117"/>
        <v>17.741935483870968</v>
      </c>
      <c r="AZ44" s="1">
        <f t="shared" si="117"/>
        <v>18.06451612903226</v>
      </c>
      <c r="BA44" s="1">
        <f t="shared" si="117"/>
        <v>18.387096774193548</v>
      </c>
      <c r="BB44" s="1">
        <f t="shared" si="117"/>
        <v>18.70967741935484</v>
      </c>
      <c r="BC44" s="1">
        <f t="shared" si="117"/>
        <v>19.032258064516128</v>
      </c>
      <c r="BD44" s="1">
        <f t="shared" si="117"/>
        <v>19.35483870967742</v>
      </c>
      <c r="BE44" s="1">
        <f t="shared" si="117"/>
        <v>19.677419354838708</v>
      </c>
      <c r="BF44" s="1">
        <f t="shared" si="117"/>
        <v>20</v>
      </c>
      <c r="BG44" s="1">
        <f t="shared" si="117"/>
        <v>20.322580645161292</v>
      </c>
      <c r="BH44" s="1">
        <f t="shared" si="117"/>
        <v>20.64516129032258</v>
      </c>
      <c r="BI44" s="1">
        <f t="shared" si="117"/>
        <v>20.967741935483872</v>
      </c>
      <c r="BJ44" s="1">
        <f t="shared" si="117"/>
        <v>21.29032258064516</v>
      </c>
      <c r="BK44" s="1">
        <f t="shared" si="117"/>
        <v>21.612903225806452</v>
      </c>
      <c r="BL44" s="1">
        <f t="shared" si="117"/>
        <v>21.93548387096774</v>
      </c>
      <c r="BM44" s="1">
        <f t="shared" si="117"/>
        <v>22.258064516129032</v>
      </c>
      <c r="BN44" s="1">
        <f t="shared" si="117"/>
        <v>22.580645161290324</v>
      </c>
      <c r="BO44" s="1">
        <f t="shared" si="111"/>
        <v>22.903225806451612</v>
      </c>
      <c r="BP44" s="1">
        <f t="shared" si="108"/>
        <v>23.225806451612904</v>
      </c>
      <c r="BQ44" s="1">
        <f t="shared" si="108"/>
        <v>23.548387096774192</v>
      </c>
      <c r="BR44" s="1">
        <f t="shared" si="108"/>
        <v>23.870967741935484</v>
      </c>
      <c r="BS44" s="1">
        <f t="shared" si="108"/>
        <v>24.193548387096776</v>
      </c>
      <c r="BT44" s="1">
        <f t="shared" si="108"/>
        <v>24.516129032258064</v>
      </c>
      <c r="BU44" s="1">
        <f t="shared" si="108"/>
        <v>24.838709677419356</v>
      </c>
      <c r="BV44" s="1">
        <f t="shared" si="108"/>
        <v>25.161290322580644</v>
      </c>
      <c r="BW44" s="1">
        <f t="shared" si="108"/>
        <v>25.483870967741936</v>
      </c>
      <c r="BX44" s="1">
        <f t="shared" si="108"/>
        <v>25.806451612903224</v>
      </c>
      <c r="BY44" s="1">
        <f t="shared" si="108"/>
        <v>26.129032258064516</v>
      </c>
      <c r="BZ44" s="1">
        <f t="shared" si="108"/>
        <v>26.451612903225808</v>
      </c>
      <c r="CA44" s="1">
        <f t="shared" si="108"/>
        <v>26.774193548387096</v>
      </c>
      <c r="CB44" s="1">
        <f t="shared" si="108"/>
        <v>27.096774193548388</v>
      </c>
      <c r="CC44" s="1">
        <f t="shared" si="108"/>
        <v>27.419354838709676</v>
      </c>
      <c r="CD44" s="1">
        <f t="shared" si="108"/>
        <v>27.741935483870968</v>
      </c>
      <c r="CE44" s="1">
        <f t="shared" si="114"/>
        <v>28.06451612903226</v>
      </c>
      <c r="CF44" s="1">
        <f t="shared" si="114"/>
        <v>28.387096774193548</v>
      </c>
      <c r="CG44" s="1">
        <f t="shared" si="114"/>
        <v>28.70967741935484</v>
      </c>
      <c r="CH44" s="1">
        <f t="shared" si="114"/>
        <v>29.032258064516128</v>
      </c>
      <c r="CI44" s="1">
        <f t="shared" si="114"/>
        <v>29.35483870967742</v>
      </c>
      <c r="CJ44" s="1">
        <f t="shared" si="114"/>
        <v>29.677419354838708</v>
      </c>
      <c r="CK44" s="1">
        <f t="shared" si="114"/>
        <v>30</v>
      </c>
      <c r="CL44" s="1">
        <f t="shared" si="114"/>
        <v>30.322580645161292</v>
      </c>
      <c r="CM44" s="1">
        <f t="shared" si="114"/>
        <v>30.64516129032258</v>
      </c>
      <c r="CN44" s="1">
        <f t="shared" si="114"/>
        <v>30.967741935483872</v>
      </c>
      <c r="CO44" s="1">
        <f t="shared" si="114"/>
        <v>31.29032258064516</v>
      </c>
      <c r="CP44" s="1">
        <f t="shared" si="114"/>
        <v>31.612903225806452</v>
      </c>
      <c r="CQ44" s="1">
        <f t="shared" si="114"/>
        <v>31.93548387096774</v>
      </c>
      <c r="CR44" s="1">
        <f t="shared" si="114"/>
        <v>32.258064516129032</v>
      </c>
      <c r="CS44" s="1">
        <f t="shared" si="114"/>
        <v>32.58064516129032</v>
      </c>
      <c r="CT44" s="1">
        <f t="shared" si="114"/>
        <v>32.903225806451616</v>
      </c>
      <c r="CU44" s="1">
        <f t="shared" si="112"/>
        <v>33.225806451612904</v>
      </c>
      <c r="CV44" s="1">
        <f t="shared" si="106"/>
        <v>33.548387096774192</v>
      </c>
      <c r="CW44" s="1">
        <f t="shared" si="115"/>
        <v>33.87096774193548</v>
      </c>
      <c r="CX44" s="1">
        <f t="shared" si="115"/>
        <v>34.193548387096776</v>
      </c>
      <c r="CY44" s="1">
        <f t="shared" si="115"/>
        <v>34.516129032258064</v>
      </c>
      <c r="CZ44" s="1">
        <f t="shared" si="115"/>
        <v>34.838709677419352</v>
      </c>
      <c r="DA44" s="1">
        <f t="shared" si="115"/>
        <v>35.161290322580648</v>
      </c>
      <c r="DB44" s="1">
        <f t="shared" si="115"/>
        <v>35.483870967741936</v>
      </c>
      <c r="DC44" s="1">
        <f t="shared" si="115"/>
        <v>35.806451612903224</v>
      </c>
      <c r="DD44" s="1">
        <f t="shared" si="115"/>
        <v>36.12903225806452</v>
      </c>
      <c r="DE44" s="1">
        <f t="shared" si="115"/>
        <v>36.451612903225808</v>
      </c>
      <c r="DF44" s="1">
        <f t="shared" si="115"/>
        <v>36.774193548387096</v>
      </c>
      <c r="DG44" s="1">
        <f t="shared" si="115"/>
        <v>37.096774193548384</v>
      </c>
      <c r="DH44" s="1">
        <f t="shared" si="115"/>
        <v>37.41935483870968</v>
      </c>
      <c r="DI44" s="1">
        <f t="shared" si="115"/>
        <v>37.741935483870968</v>
      </c>
      <c r="DJ44" s="1">
        <f t="shared" si="115"/>
        <v>38.064516129032256</v>
      </c>
      <c r="DK44" s="1">
        <f t="shared" si="115"/>
        <v>38.387096774193552</v>
      </c>
      <c r="DL44" s="1">
        <f t="shared" si="115"/>
        <v>38.70967741935484</v>
      </c>
      <c r="DM44" s="1">
        <f t="shared" si="113"/>
        <v>39.032258064516128</v>
      </c>
      <c r="DN44" s="1">
        <f t="shared" si="113"/>
        <v>39.354838709677416</v>
      </c>
      <c r="DO44" s="1">
        <f t="shared" si="113"/>
        <v>39.677419354838712</v>
      </c>
      <c r="DP44" s="1">
        <f t="shared" si="113"/>
        <v>40</v>
      </c>
      <c r="DQ44" s="1">
        <f t="shared" si="113"/>
        <v>40.322580645161288</v>
      </c>
      <c r="DR44" s="1">
        <f t="shared" si="113"/>
        <v>40.645161290322584</v>
      </c>
      <c r="DS44" s="1">
        <f t="shared" si="113"/>
        <v>40.967741935483872</v>
      </c>
    </row>
    <row r="45" spans="1:123" x14ac:dyDescent="0.3">
      <c r="A45" s="81"/>
      <c r="B45" s="13" t="str">
        <f t="shared" si="99"/>
        <v>0x20</v>
      </c>
      <c r="C45" s="12">
        <f t="shared" si="101"/>
        <v>32</v>
      </c>
      <c r="D45" s="1">
        <f t="shared" si="118"/>
        <v>2.5</v>
      </c>
      <c r="E45" s="1">
        <f t="shared" si="118"/>
        <v>2.8125</v>
      </c>
      <c r="F45" s="1">
        <f t="shared" si="118"/>
        <v>3.125</v>
      </c>
      <c r="G45" s="1">
        <f t="shared" si="118"/>
        <v>3.4375</v>
      </c>
      <c r="H45" s="1">
        <f t="shared" si="118"/>
        <v>3.75</v>
      </c>
      <c r="I45" s="1">
        <f t="shared" si="118"/>
        <v>4.0625</v>
      </c>
      <c r="J45" s="1">
        <f t="shared" si="118"/>
        <v>4.375</v>
      </c>
      <c r="K45" s="1">
        <f t="shared" si="118"/>
        <v>4.6875</v>
      </c>
      <c r="L45" s="1">
        <f t="shared" si="118"/>
        <v>5</v>
      </c>
      <c r="M45" s="1">
        <f t="shared" si="118"/>
        <v>5.3125</v>
      </c>
      <c r="N45" s="1">
        <f t="shared" si="118"/>
        <v>5.625</v>
      </c>
      <c r="O45" s="1">
        <f t="shared" si="118"/>
        <v>5.9375</v>
      </c>
      <c r="P45" s="1">
        <f t="shared" si="118"/>
        <v>6.25</v>
      </c>
      <c r="Q45" s="1">
        <f t="shared" si="118"/>
        <v>6.5625</v>
      </c>
      <c r="R45" s="1">
        <f t="shared" si="118"/>
        <v>6.875</v>
      </c>
      <c r="S45" s="1">
        <f t="shared" si="118"/>
        <v>7.1875</v>
      </c>
      <c r="T45" s="1">
        <f t="shared" si="116"/>
        <v>7.5</v>
      </c>
      <c r="U45" s="1">
        <f t="shared" si="116"/>
        <v>7.8125</v>
      </c>
      <c r="V45" s="1">
        <f t="shared" si="116"/>
        <v>8.125</v>
      </c>
      <c r="W45" s="1">
        <f t="shared" si="116"/>
        <v>8.4375</v>
      </c>
      <c r="X45" s="1">
        <f t="shared" si="116"/>
        <v>8.75</v>
      </c>
      <c r="Y45" s="1">
        <f t="shared" si="116"/>
        <v>9.0625</v>
      </c>
      <c r="Z45" s="1">
        <f t="shared" si="116"/>
        <v>9.375</v>
      </c>
      <c r="AA45" s="1">
        <f t="shared" si="116"/>
        <v>9.6875</v>
      </c>
      <c r="AB45" s="1">
        <f t="shared" si="120"/>
        <v>10</v>
      </c>
      <c r="AC45" s="1">
        <f t="shared" si="120"/>
        <v>10.3125</v>
      </c>
      <c r="AD45" s="1">
        <f t="shared" si="120"/>
        <v>10.625</v>
      </c>
      <c r="AE45" s="1">
        <f t="shared" si="120"/>
        <v>10.9375</v>
      </c>
      <c r="AF45" s="1">
        <f t="shared" si="120"/>
        <v>11.25</v>
      </c>
      <c r="AG45" s="1">
        <f t="shared" si="120"/>
        <v>11.5625</v>
      </c>
      <c r="AH45" s="1">
        <f t="shared" si="120"/>
        <v>11.875</v>
      </c>
      <c r="AI45" s="1">
        <f t="shared" si="120"/>
        <v>12.1875</v>
      </c>
      <c r="AJ45" s="1">
        <f t="shared" si="120"/>
        <v>12.5</v>
      </c>
      <c r="AK45" s="1">
        <f t="shared" si="120"/>
        <v>12.8125</v>
      </c>
      <c r="AL45" s="1">
        <f t="shared" si="120"/>
        <v>13.125</v>
      </c>
      <c r="AM45" s="1">
        <f t="shared" si="120"/>
        <v>13.4375</v>
      </c>
      <c r="AN45" s="1">
        <f t="shared" si="120"/>
        <v>13.75</v>
      </c>
      <c r="AO45" s="1">
        <f t="shared" si="120"/>
        <v>14.0625</v>
      </c>
      <c r="AP45" s="1">
        <f t="shared" si="120"/>
        <v>14.375</v>
      </c>
      <c r="AQ45" s="1">
        <f t="shared" si="120"/>
        <v>14.6875</v>
      </c>
      <c r="AR45" s="1">
        <f t="shared" si="119"/>
        <v>15</v>
      </c>
      <c r="AS45" s="1">
        <f t="shared" si="119"/>
        <v>15.3125</v>
      </c>
      <c r="AT45" s="1">
        <f t="shared" si="119"/>
        <v>15.625</v>
      </c>
      <c r="AU45" s="1">
        <f t="shared" si="119"/>
        <v>15.9375</v>
      </c>
      <c r="AV45" s="1">
        <f t="shared" si="119"/>
        <v>16.25</v>
      </c>
      <c r="AW45" s="1">
        <f t="shared" si="119"/>
        <v>16.5625</v>
      </c>
      <c r="AX45" s="1">
        <f t="shared" si="119"/>
        <v>16.875</v>
      </c>
      <c r="AY45" s="1">
        <f t="shared" si="117"/>
        <v>17.1875</v>
      </c>
      <c r="AZ45" s="1">
        <f t="shared" si="117"/>
        <v>17.5</v>
      </c>
      <c r="BA45" s="1">
        <f t="shared" si="117"/>
        <v>17.8125</v>
      </c>
      <c r="BB45" s="1">
        <f t="shared" si="117"/>
        <v>18.125</v>
      </c>
      <c r="BC45" s="1">
        <f t="shared" si="117"/>
        <v>18.4375</v>
      </c>
      <c r="BD45" s="1">
        <f t="shared" si="117"/>
        <v>18.75</v>
      </c>
      <c r="BE45" s="1">
        <f t="shared" si="117"/>
        <v>19.0625</v>
      </c>
      <c r="BF45" s="1">
        <f t="shared" si="117"/>
        <v>19.375</v>
      </c>
      <c r="BG45" s="1">
        <f t="shared" si="117"/>
        <v>19.6875</v>
      </c>
      <c r="BH45" s="1">
        <f t="shared" si="117"/>
        <v>20</v>
      </c>
      <c r="BI45" s="1">
        <f t="shared" si="117"/>
        <v>20.3125</v>
      </c>
      <c r="BJ45" s="1">
        <f t="shared" si="117"/>
        <v>20.625</v>
      </c>
      <c r="BK45" s="1">
        <f t="shared" si="117"/>
        <v>20.9375</v>
      </c>
      <c r="BL45" s="1">
        <f t="shared" si="117"/>
        <v>21.25</v>
      </c>
      <c r="BM45" s="1">
        <f t="shared" si="117"/>
        <v>21.5625</v>
      </c>
      <c r="BN45" s="1">
        <f t="shared" si="117"/>
        <v>21.875</v>
      </c>
      <c r="BO45" s="1">
        <f t="shared" si="111"/>
        <v>22.1875</v>
      </c>
      <c r="BP45" s="1">
        <f t="shared" si="108"/>
        <v>22.5</v>
      </c>
      <c r="BQ45" s="1">
        <f t="shared" si="108"/>
        <v>22.8125</v>
      </c>
      <c r="BR45" s="1">
        <f t="shared" si="108"/>
        <v>23.125</v>
      </c>
      <c r="BS45" s="1">
        <f t="shared" si="108"/>
        <v>23.4375</v>
      </c>
      <c r="BT45" s="1">
        <f t="shared" si="108"/>
        <v>23.75</v>
      </c>
      <c r="BU45" s="1">
        <f t="shared" si="108"/>
        <v>24.0625</v>
      </c>
      <c r="BV45" s="1">
        <f t="shared" si="108"/>
        <v>24.375</v>
      </c>
      <c r="BW45" s="1">
        <f t="shared" si="108"/>
        <v>24.6875</v>
      </c>
      <c r="BX45" s="1">
        <f t="shared" si="108"/>
        <v>25</v>
      </c>
      <c r="BY45" s="1">
        <f t="shared" si="108"/>
        <v>25.3125</v>
      </c>
      <c r="BZ45" s="1">
        <f t="shared" si="108"/>
        <v>25.625</v>
      </c>
      <c r="CA45" s="1">
        <f t="shared" si="108"/>
        <v>25.9375</v>
      </c>
      <c r="CB45" s="1">
        <f t="shared" si="108"/>
        <v>26.25</v>
      </c>
      <c r="CC45" s="1">
        <f t="shared" si="108"/>
        <v>26.5625</v>
      </c>
      <c r="CD45" s="1">
        <f t="shared" si="108"/>
        <v>26.875</v>
      </c>
      <c r="CE45" s="1">
        <f t="shared" si="114"/>
        <v>27.1875</v>
      </c>
      <c r="CF45" s="1">
        <f t="shared" si="114"/>
        <v>27.5</v>
      </c>
      <c r="CG45" s="1">
        <f t="shared" si="114"/>
        <v>27.8125</v>
      </c>
      <c r="CH45" s="1">
        <f t="shared" si="114"/>
        <v>28.125</v>
      </c>
      <c r="CI45" s="1">
        <f t="shared" si="114"/>
        <v>28.4375</v>
      </c>
      <c r="CJ45" s="1">
        <f t="shared" si="114"/>
        <v>28.75</v>
      </c>
      <c r="CK45" s="1">
        <f t="shared" si="114"/>
        <v>29.0625</v>
      </c>
      <c r="CL45" s="1">
        <f t="shared" si="114"/>
        <v>29.375</v>
      </c>
      <c r="CM45" s="1">
        <f t="shared" si="114"/>
        <v>29.6875</v>
      </c>
      <c r="CN45" s="1">
        <f t="shared" si="114"/>
        <v>30</v>
      </c>
      <c r="CO45" s="1">
        <f t="shared" si="114"/>
        <v>30.3125</v>
      </c>
      <c r="CP45" s="1">
        <f t="shared" si="114"/>
        <v>30.625</v>
      </c>
      <c r="CQ45" s="1">
        <f t="shared" si="114"/>
        <v>30.9375</v>
      </c>
      <c r="CR45" s="1">
        <f t="shared" si="114"/>
        <v>31.25</v>
      </c>
      <c r="CS45" s="1">
        <f t="shared" si="114"/>
        <v>31.5625</v>
      </c>
      <c r="CT45" s="1">
        <f t="shared" si="114"/>
        <v>31.875</v>
      </c>
      <c r="CU45" s="1">
        <f t="shared" si="112"/>
        <v>32.1875</v>
      </c>
      <c r="CV45" s="1">
        <f t="shared" si="106"/>
        <v>32.5</v>
      </c>
      <c r="CW45" s="1">
        <f t="shared" si="115"/>
        <v>32.8125</v>
      </c>
      <c r="CX45" s="1">
        <f t="shared" si="115"/>
        <v>33.125</v>
      </c>
      <c r="CY45" s="1">
        <f t="shared" si="115"/>
        <v>33.4375</v>
      </c>
      <c r="CZ45" s="1">
        <f t="shared" si="115"/>
        <v>33.75</v>
      </c>
      <c r="DA45" s="1">
        <f t="shared" si="115"/>
        <v>34.0625</v>
      </c>
      <c r="DB45" s="1">
        <f t="shared" si="115"/>
        <v>34.375</v>
      </c>
      <c r="DC45" s="1">
        <f t="shared" si="115"/>
        <v>34.6875</v>
      </c>
      <c r="DD45" s="1">
        <f t="shared" si="115"/>
        <v>35</v>
      </c>
      <c r="DE45" s="1">
        <f t="shared" si="115"/>
        <v>35.3125</v>
      </c>
      <c r="DF45" s="1">
        <f t="shared" si="115"/>
        <v>35.625</v>
      </c>
      <c r="DG45" s="1">
        <f t="shared" si="115"/>
        <v>35.9375</v>
      </c>
      <c r="DH45" s="1">
        <f t="shared" si="115"/>
        <v>36.25</v>
      </c>
      <c r="DI45" s="1">
        <f t="shared" si="115"/>
        <v>36.5625</v>
      </c>
      <c r="DJ45" s="1">
        <f t="shared" si="115"/>
        <v>36.875</v>
      </c>
      <c r="DK45" s="1">
        <f t="shared" si="115"/>
        <v>37.1875</v>
      </c>
      <c r="DL45" s="1">
        <f t="shared" si="115"/>
        <v>37.5</v>
      </c>
      <c r="DM45" s="1">
        <f t="shared" si="113"/>
        <v>37.8125</v>
      </c>
      <c r="DN45" s="1">
        <f t="shared" si="113"/>
        <v>38.125</v>
      </c>
      <c r="DO45" s="1">
        <f t="shared" si="113"/>
        <v>38.4375</v>
      </c>
      <c r="DP45" s="1">
        <f t="shared" si="113"/>
        <v>38.75</v>
      </c>
      <c r="DQ45" s="1">
        <f t="shared" si="113"/>
        <v>39.0625</v>
      </c>
      <c r="DR45" s="1">
        <f t="shared" si="113"/>
        <v>39.375</v>
      </c>
      <c r="DS45" s="1">
        <f t="shared" si="113"/>
        <v>39.6875</v>
      </c>
    </row>
    <row r="46" spans="1:123" x14ac:dyDescent="0.3">
      <c r="A46" s="81"/>
      <c r="B46" s="13" t="str">
        <f t="shared" si="99"/>
        <v>0x21</v>
      </c>
      <c r="C46" s="12">
        <f t="shared" si="101"/>
        <v>33</v>
      </c>
      <c r="D46" s="1">
        <f t="shared" si="118"/>
        <v>2.4242424242424243</v>
      </c>
      <c r="E46" s="1">
        <f t="shared" si="118"/>
        <v>2.7272727272727271</v>
      </c>
      <c r="F46" s="1">
        <f t="shared" si="118"/>
        <v>3.0303030303030303</v>
      </c>
      <c r="G46" s="1">
        <f t="shared" si="118"/>
        <v>3.3333333333333335</v>
      </c>
      <c r="H46" s="1">
        <f t="shared" si="118"/>
        <v>3.6363636363636362</v>
      </c>
      <c r="I46" s="1">
        <f t="shared" si="118"/>
        <v>3.9393939393939394</v>
      </c>
      <c r="J46" s="1">
        <f t="shared" si="118"/>
        <v>4.2424242424242422</v>
      </c>
      <c r="K46" s="1">
        <f t="shared" si="118"/>
        <v>4.5454545454545459</v>
      </c>
      <c r="L46" s="1">
        <f t="shared" si="118"/>
        <v>4.8484848484848486</v>
      </c>
      <c r="M46" s="1">
        <f t="shared" si="118"/>
        <v>5.1515151515151514</v>
      </c>
      <c r="N46" s="1">
        <f t="shared" si="118"/>
        <v>5.4545454545454541</v>
      </c>
      <c r="O46" s="1">
        <f t="shared" si="118"/>
        <v>5.7575757575757578</v>
      </c>
      <c r="P46" s="1">
        <f t="shared" si="118"/>
        <v>6.0606060606060606</v>
      </c>
      <c r="Q46" s="1">
        <f t="shared" si="118"/>
        <v>6.3636363636363633</v>
      </c>
      <c r="R46" s="1">
        <f t="shared" si="118"/>
        <v>6.666666666666667</v>
      </c>
      <c r="S46" s="1">
        <f t="shared" si="118"/>
        <v>6.9696969696969697</v>
      </c>
      <c r="T46" s="1">
        <f t="shared" si="116"/>
        <v>7.2727272727272725</v>
      </c>
      <c r="U46" s="1">
        <f t="shared" si="116"/>
        <v>7.5757575757575761</v>
      </c>
      <c r="V46" s="1">
        <f t="shared" si="116"/>
        <v>7.8787878787878789</v>
      </c>
      <c r="W46" s="1">
        <f t="shared" si="116"/>
        <v>8.1818181818181817</v>
      </c>
      <c r="X46" s="1">
        <f t="shared" si="116"/>
        <v>8.4848484848484844</v>
      </c>
      <c r="Y46" s="1">
        <f t="shared" si="116"/>
        <v>8.7878787878787872</v>
      </c>
      <c r="Z46" s="1">
        <f t="shared" si="116"/>
        <v>9.0909090909090917</v>
      </c>
      <c r="AA46" s="1">
        <f t="shared" si="116"/>
        <v>9.3939393939393945</v>
      </c>
      <c r="AB46" s="1">
        <f t="shared" si="120"/>
        <v>9.6969696969696972</v>
      </c>
      <c r="AC46" s="1">
        <f t="shared" si="120"/>
        <v>10</v>
      </c>
      <c r="AD46" s="1">
        <f t="shared" si="120"/>
        <v>10.303030303030303</v>
      </c>
      <c r="AE46" s="1">
        <f t="shared" si="120"/>
        <v>10.606060606060606</v>
      </c>
      <c r="AF46" s="1">
        <f t="shared" si="120"/>
        <v>10.909090909090908</v>
      </c>
      <c r="AG46" s="1">
        <f t="shared" si="120"/>
        <v>11.212121212121213</v>
      </c>
      <c r="AH46" s="1">
        <f t="shared" si="120"/>
        <v>11.515151515151516</v>
      </c>
      <c r="AI46" s="1">
        <f t="shared" si="120"/>
        <v>11.818181818181818</v>
      </c>
      <c r="AJ46" s="1">
        <f t="shared" si="120"/>
        <v>12.121212121212121</v>
      </c>
      <c r="AK46" s="1">
        <f t="shared" si="120"/>
        <v>12.424242424242424</v>
      </c>
      <c r="AL46" s="1">
        <f t="shared" si="120"/>
        <v>12.727272727272727</v>
      </c>
      <c r="AM46" s="1">
        <f t="shared" si="120"/>
        <v>13.030303030303031</v>
      </c>
      <c r="AN46" s="1">
        <f t="shared" si="120"/>
        <v>13.333333333333334</v>
      </c>
      <c r="AO46" s="1">
        <f t="shared" si="120"/>
        <v>13.636363636363637</v>
      </c>
      <c r="AP46" s="1">
        <f t="shared" si="120"/>
        <v>13.939393939393939</v>
      </c>
      <c r="AQ46" s="1">
        <f t="shared" si="120"/>
        <v>14.242424242424242</v>
      </c>
      <c r="AR46" s="1">
        <f t="shared" si="119"/>
        <v>14.545454545454545</v>
      </c>
      <c r="AS46" s="1">
        <f t="shared" si="119"/>
        <v>14.848484848484848</v>
      </c>
      <c r="AT46" s="1">
        <f t="shared" si="119"/>
        <v>15.151515151515152</v>
      </c>
      <c r="AU46" s="1">
        <f t="shared" si="119"/>
        <v>15.454545454545455</v>
      </c>
      <c r="AV46" s="1">
        <f t="shared" si="119"/>
        <v>15.757575757575758</v>
      </c>
      <c r="AW46" s="1">
        <f t="shared" si="119"/>
        <v>16.060606060606062</v>
      </c>
      <c r="AX46" s="1">
        <f t="shared" si="119"/>
        <v>16.363636363636363</v>
      </c>
      <c r="AY46" s="1">
        <f t="shared" si="117"/>
        <v>16.666666666666668</v>
      </c>
      <c r="AZ46" s="1">
        <f t="shared" si="117"/>
        <v>16.969696969696969</v>
      </c>
      <c r="BA46" s="1">
        <f t="shared" si="117"/>
        <v>17.272727272727273</v>
      </c>
      <c r="BB46" s="1">
        <f t="shared" si="117"/>
        <v>17.575757575757574</v>
      </c>
      <c r="BC46" s="1">
        <f t="shared" si="117"/>
        <v>17.878787878787879</v>
      </c>
      <c r="BD46" s="1">
        <f t="shared" si="117"/>
        <v>18.181818181818183</v>
      </c>
      <c r="BE46" s="1">
        <f t="shared" si="117"/>
        <v>18.484848484848484</v>
      </c>
      <c r="BF46" s="1">
        <f t="shared" si="117"/>
        <v>18.787878787878789</v>
      </c>
      <c r="BG46" s="1">
        <f t="shared" si="117"/>
        <v>19.09090909090909</v>
      </c>
      <c r="BH46" s="1">
        <f t="shared" si="117"/>
        <v>19.393939393939394</v>
      </c>
      <c r="BI46" s="1">
        <f t="shared" si="117"/>
        <v>19.696969696969695</v>
      </c>
      <c r="BJ46" s="1">
        <f t="shared" si="117"/>
        <v>20</v>
      </c>
      <c r="BK46" s="1">
        <f t="shared" si="117"/>
        <v>20.303030303030305</v>
      </c>
      <c r="BL46" s="1">
        <f t="shared" si="117"/>
        <v>20.606060606060606</v>
      </c>
      <c r="BM46" s="1">
        <f t="shared" si="117"/>
        <v>20.90909090909091</v>
      </c>
      <c r="BN46" s="1">
        <f t="shared" si="117"/>
        <v>21.212121212121211</v>
      </c>
      <c r="BO46" s="1">
        <f t="shared" si="111"/>
        <v>21.515151515151516</v>
      </c>
      <c r="BP46" s="1">
        <f t="shared" si="108"/>
        <v>21.818181818181817</v>
      </c>
      <c r="BQ46" s="1">
        <f t="shared" si="108"/>
        <v>22.121212121212121</v>
      </c>
      <c r="BR46" s="1">
        <f t="shared" si="108"/>
        <v>22.424242424242426</v>
      </c>
      <c r="BS46" s="1">
        <f t="shared" si="108"/>
        <v>22.727272727272727</v>
      </c>
      <c r="BT46" s="1">
        <f t="shared" si="108"/>
        <v>23.030303030303031</v>
      </c>
      <c r="BU46" s="1">
        <f t="shared" si="108"/>
        <v>23.333333333333332</v>
      </c>
      <c r="BV46" s="1">
        <f t="shared" si="108"/>
        <v>23.636363636363637</v>
      </c>
      <c r="BW46" s="1">
        <f t="shared" si="108"/>
        <v>23.939393939393938</v>
      </c>
      <c r="BX46" s="1">
        <f t="shared" si="108"/>
        <v>24.242424242424242</v>
      </c>
      <c r="BY46" s="1">
        <f t="shared" si="108"/>
        <v>24.545454545454547</v>
      </c>
      <c r="BZ46" s="1">
        <f t="shared" si="108"/>
        <v>24.848484848484848</v>
      </c>
      <c r="CA46" s="1">
        <f t="shared" si="108"/>
        <v>25.151515151515152</v>
      </c>
      <c r="CB46" s="1">
        <f t="shared" si="108"/>
        <v>25.454545454545453</v>
      </c>
      <c r="CC46" s="1">
        <f t="shared" si="108"/>
        <v>25.757575757575758</v>
      </c>
      <c r="CD46" s="1">
        <f t="shared" si="108"/>
        <v>26.060606060606062</v>
      </c>
      <c r="CE46" s="1">
        <f t="shared" si="114"/>
        <v>26.363636363636363</v>
      </c>
      <c r="CF46" s="1">
        <f t="shared" si="114"/>
        <v>26.666666666666668</v>
      </c>
      <c r="CG46" s="1">
        <f t="shared" si="114"/>
        <v>26.969696969696969</v>
      </c>
      <c r="CH46" s="1">
        <f t="shared" si="114"/>
        <v>27.272727272727273</v>
      </c>
      <c r="CI46" s="1">
        <f t="shared" si="114"/>
        <v>27.575757575757574</v>
      </c>
      <c r="CJ46" s="1">
        <f t="shared" si="114"/>
        <v>27.878787878787879</v>
      </c>
      <c r="CK46" s="1">
        <f t="shared" si="114"/>
        <v>28.181818181818183</v>
      </c>
      <c r="CL46" s="1">
        <f t="shared" si="114"/>
        <v>28.484848484848484</v>
      </c>
      <c r="CM46" s="1">
        <f t="shared" si="114"/>
        <v>28.787878787878789</v>
      </c>
      <c r="CN46" s="1">
        <f t="shared" si="114"/>
        <v>29.09090909090909</v>
      </c>
      <c r="CO46" s="1">
        <f t="shared" si="114"/>
        <v>29.393939393939394</v>
      </c>
      <c r="CP46" s="1">
        <f t="shared" si="114"/>
        <v>29.696969696969695</v>
      </c>
      <c r="CQ46" s="1">
        <f t="shared" si="114"/>
        <v>30</v>
      </c>
      <c r="CR46" s="1">
        <f t="shared" si="114"/>
        <v>30.303030303030305</v>
      </c>
      <c r="CS46" s="1">
        <f t="shared" si="114"/>
        <v>30.606060606060606</v>
      </c>
      <c r="CT46" s="1">
        <f t="shared" si="114"/>
        <v>30.90909090909091</v>
      </c>
      <c r="CU46" s="1">
        <f t="shared" si="112"/>
        <v>31.212121212121211</v>
      </c>
      <c r="CV46" s="1">
        <f t="shared" si="106"/>
        <v>31.515151515151516</v>
      </c>
      <c r="CW46" s="1">
        <f t="shared" si="115"/>
        <v>31.818181818181817</v>
      </c>
      <c r="CX46" s="1">
        <f t="shared" si="115"/>
        <v>32.121212121212125</v>
      </c>
      <c r="CY46" s="1">
        <f t="shared" si="115"/>
        <v>32.424242424242422</v>
      </c>
      <c r="CZ46" s="1">
        <f t="shared" si="115"/>
        <v>32.727272727272727</v>
      </c>
      <c r="DA46" s="1">
        <f t="shared" si="115"/>
        <v>33.030303030303031</v>
      </c>
      <c r="DB46" s="1">
        <f t="shared" si="115"/>
        <v>33.333333333333336</v>
      </c>
      <c r="DC46" s="1">
        <f t="shared" si="115"/>
        <v>33.636363636363633</v>
      </c>
      <c r="DD46" s="1">
        <f t="shared" si="115"/>
        <v>33.939393939393938</v>
      </c>
      <c r="DE46" s="1">
        <f t="shared" si="115"/>
        <v>34.242424242424242</v>
      </c>
      <c r="DF46" s="1">
        <f t="shared" si="115"/>
        <v>34.545454545454547</v>
      </c>
      <c r="DG46" s="1">
        <f t="shared" si="115"/>
        <v>34.848484848484851</v>
      </c>
      <c r="DH46" s="1">
        <f t="shared" si="115"/>
        <v>35.151515151515149</v>
      </c>
      <c r="DI46" s="1">
        <f t="shared" si="115"/>
        <v>35.454545454545453</v>
      </c>
      <c r="DJ46" s="1">
        <f t="shared" si="115"/>
        <v>35.757575757575758</v>
      </c>
      <c r="DK46" s="1">
        <f t="shared" si="115"/>
        <v>36.060606060606062</v>
      </c>
      <c r="DL46" s="1">
        <f t="shared" si="115"/>
        <v>36.363636363636367</v>
      </c>
      <c r="DM46" s="1">
        <f t="shared" si="113"/>
        <v>36.666666666666664</v>
      </c>
      <c r="DN46" s="1">
        <f t="shared" si="113"/>
        <v>36.969696969696969</v>
      </c>
      <c r="DO46" s="1">
        <f t="shared" si="113"/>
        <v>37.272727272727273</v>
      </c>
      <c r="DP46" s="1">
        <f t="shared" si="113"/>
        <v>37.575757575757578</v>
      </c>
      <c r="DQ46" s="1">
        <f t="shared" si="113"/>
        <v>37.878787878787875</v>
      </c>
      <c r="DR46" s="1">
        <f t="shared" si="113"/>
        <v>38.18181818181818</v>
      </c>
      <c r="DS46" s="1">
        <f t="shared" si="113"/>
        <v>38.484848484848484</v>
      </c>
    </row>
    <row r="47" spans="1:123" x14ac:dyDescent="0.3">
      <c r="A47" s="81"/>
      <c r="B47" s="13" t="str">
        <f t="shared" si="99"/>
        <v>0x22</v>
      </c>
      <c r="C47" s="12">
        <f t="shared" si="101"/>
        <v>34</v>
      </c>
      <c r="D47" s="1">
        <f t="shared" si="118"/>
        <v>2.3529411764705883</v>
      </c>
      <c r="E47" s="1">
        <f t="shared" si="118"/>
        <v>2.6470588235294117</v>
      </c>
      <c r="F47" s="1">
        <f t="shared" si="118"/>
        <v>2.9411764705882355</v>
      </c>
      <c r="G47" s="1">
        <f t="shared" si="118"/>
        <v>3.2352941176470589</v>
      </c>
      <c r="H47" s="1">
        <f t="shared" si="118"/>
        <v>3.5294117647058822</v>
      </c>
      <c r="I47" s="1">
        <f t="shared" si="118"/>
        <v>3.8235294117647061</v>
      </c>
      <c r="J47" s="1">
        <f t="shared" si="118"/>
        <v>4.117647058823529</v>
      </c>
      <c r="K47" s="1">
        <f t="shared" si="118"/>
        <v>4.4117647058823533</v>
      </c>
      <c r="L47" s="1">
        <f t="shared" si="118"/>
        <v>4.7058823529411766</v>
      </c>
      <c r="M47" s="1">
        <f t="shared" si="118"/>
        <v>5</v>
      </c>
      <c r="N47" s="1">
        <f t="shared" si="118"/>
        <v>5.2941176470588234</v>
      </c>
      <c r="O47" s="1">
        <f t="shared" si="118"/>
        <v>5.5882352941176467</v>
      </c>
      <c r="P47" s="1">
        <f t="shared" si="118"/>
        <v>5.882352941176471</v>
      </c>
      <c r="Q47" s="1">
        <f t="shared" si="118"/>
        <v>6.1764705882352944</v>
      </c>
      <c r="R47" s="1">
        <f t="shared" si="118"/>
        <v>6.4705882352941178</v>
      </c>
      <c r="S47" s="1">
        <f t="shared" si="118"/>
        <v>6.7647058823529411</v>
      </c>
      <c r="T47" s="1">
        <f t="shared" si="116"/>
        <v>7.0588235294117645</v>
      </c>
      <c r="U47" s="1">
        <f t="shared" si="116"/>
        <v>7.3529411764705879</v>
      </c>
      <c r="V47" s="1">
        <f t="shared" si="116"/>
        <v>7.6470588235294121</v>
      </c>
      <c r="W47" s="1">
        <f t="shared" si="116"/>
        <v>7.9411764705882355</v>
      </c>
      <c r="X47" s="1">
        <f t="shared" si="116"/>
        <v>8.235294117647058</v>
      </c>
      <c r="Y47" s="1">
        <f t="shared" si="116"/>
        <v>8.5294117647058822</v>
      </c>
      <c r="Z47" s="1">
        <f t="shared" si="116"/>
        <v>8.8235294117647065</v>
      </c>
      <c r="AA47" s="1">
        <f t="shared" si="116"/>
        <v>9.117647058823529</v>
      </c>
      <c r="AB47" s="1">
        <f t="shared" si="120"/>
        <v>9.4117647058823533</v>
      </c>
      <c r="AC47" s="1">
        <f t="shared" si="120"/>
        <v>9.7058823529411757</v>
      </c>
      <c r="AD47" s="1">
        <f t="shared" si="120"/>
        <v>10</v>
      </c>
      <c r="AE47" s="1">
        <f t="shared" si="120"/>
        <v>10.294117647058824</v>
      </c>
      <c r="AF47" s="1">
        <f t="shared" si="120"/>
        <v>10.588235294117647</v>
      </c>
      <c r="AG47" s="1">
        <f t="shared" si="120"/>
        <v>10.882352941176471</v>
      </c>
      <c r="AH47" s="1">
        <f t="shared" si="120"/>
        <v>11.176470588235293</v>
      </c>
      <c r="AI47" s="1">
        <f t="shared" si="120"/>
        <v>11.470588235294118</v>
      </c>
      <c r="AJ47" s="1">
        <f t="shared" si="120"/>
        <v>11.764705882352942</v>
      </c>
      <c r="AK47" s="1">
        <f t="shared" si="120"/>
        <v>12.058823529411764</v>
      </c>
      <c r="AL47" s="1">
        <f t="shared" si="120"/>
        <v>12.352941176470589</v>
      </c>
      <c r="AM47" s="1">
        <f t="shared" si="120"/>
        <v>12.647058823529411</v>
      </c>
      <c r="AN47" s="1">
        <f t="shared" si="120"/>
        <v>12.941176470588236</v>
      </c>
      <c r="AO47" s="1">
        <f t="shared" si="120"/>
        <v>13.235294117647058</v>
      </c>
      <c r="AP47" s="1">
        <f t="shared" si="120"/>
        <v>13.529411764705882</v>
      </c>
      <c r="AQ47" s="1">
        <f t="shared" si="120"/>
        <v>13.823529411764707</v>
      </c>
      <c r="AR47" s="1">
        <f t="shared" si="119"/>
        <v>14.117647058823529</v>
      </c>
      <c r="AS47" s="1">
        <f t="shared" si="119"/>
        <v>14.411764705882353</v>
      </c>
      <c r="AT47" s="1">
        <f t="shared" si="119"/>
        <v>14.705882352941176</v>
      </c>
      <c r="AU47" s="1">
        <f t="shared" si="119"/>
        <v>15</v>
      </c>
      <c r="AV47" s="1">
        <f t="shared" si="119"/>
        <v>15.294117647058824</v>
      </c>
      <c r="AW47" s="1">
        <f t="shared" si="119"/>
        <v>15.588235294117647</v>
      </c>
      <c r="AX47" s="1">
        <f t="shared" si="119"/>
        <v>15.882352941176471</v>
      </c>
      <c r="AY47" s="1">
        <f t="shared" si="117"/>
        <v>16.176470588235293</v>
      </c>
      <c r="AZ47" s="1">
        <f t="shared" si="117"/>
        <v>16.470588235294116</v>
      </c>
      <c r="BA47" s="1">
        <f t="shared" si="117"/>
        <v>16.764705882352942</v>
      </c>
      <c r="BB47" s="1">
        <f t="shared" si="117"/>
        <v>17.058823529411764</v>
      </c>
      <c r="BC47" s="1">
        <f t="shared" si="117"/>
        <v>17.352941176470587</v>
      </c>
      <c r="BD47" s="1">
        <f t="shared" si="117"/>
        <v>17.647058823529413</v>
      </c>
      <c r="BE47" s="1">
        <f t="shared" si="117"/>
        <v>17.941176470588236</v>
      </c>
      <c r="BF47" s="1">
        <f t="shared" si="117"/>
        <v>18.235294117647058</v>
      </c>
      <c r="BG47" s="1">
        <f t="shared" si="117"/>
        <v>18.529411764705884</v>
      </c>
      <c r="BH47" s="1">
        <f t="shared" si="117"/>
        <v>18.823529411764707</v>
      </c>
      <c r="BI47" s="1">
        <f t="shared" si="117"/>
        <v>19.117647058823529</v>
      </c>
      <c r="BJ47" s="1">
        <f t="shared" si="117"/>
        <v>19.411764705882351</v>
      </c>
      <c r="BK47" s="1">
        <f t="shared" si="117"/>
        <v>19.705882352941178</v>
      </c>
      <c r="BL47" s="1">
        <f t="shared" si="117"/>
        <v>20</v>
      </c>
      <c r="BM47" s="1">
        <f t="shared" si="117"/>
        <v>20.294117647058822</v>
      </c>
      <c r="BN47" s="1">
        <f t="shared" si="117"/>
        <v>20.588235294117649</v>
      </c>
      <c r="BO47" s="1">
        <f t="shared" si="111"/>
        <v>20.882352941176471</v>
      </c>
      <c r="BP47" s="1">
        <f t="shared" si="108"/>
        <v>21.176470588235293</v>
      </c>
      <c r="BQ47" s="1">
        <f t="shared" si="108"/>
        <v>21.470588235294116</v>
      </c>
      <c r="BR47" s="1">
        <f t="shared" si="108"/>
        <v>21.764705882352942</v>
      </c>
      <c r="BS47" s="1">
        <f t="shared" si="108"/>
        <v>22.058823529411764</v>
      </c>
      <c r="BT47" s="1">
        <f t="shared" si="108"/>
        <v>22.352941176470587</v>
      </c>
      <c r="BU47" s="1">
        <f t="shared" si="108"/>
        <v>22.647058823529413</v>
      </c>
      <c r="BV47" s="1">
        <f t="shared" si="108"/>
        <v>22.941176470588236</v>
      </c>
      <c r="BW47" s="1">
        <f t="shared" si="108"/>
        <v>23.235294117647058</v>
      </c>
      <c r="BX47" s="1">
        <f t="shared" si="108"/>
        <v>23.529411764705884</v>
      </c>
      <c r="BY47" s="1">
        <f t="shared" si="108"/>
        <v>23.823529411764707</v>
      </c>
      <c r="BZ47" s="1">
        <f t="shared" si="108"/>
        <v>24.117647058823529</v>
      </c>
      <c r="CA47" s="1">
        <f t="shared" si="108"/>
        <v>24.411764705882351</v>
      </c>
      <c r="CB47" s="1">
        <f t="shared" si="108"/>
        <v>24.705882352941178</v>
      </c>
      <c r="CC47" s="1">
        <f t="shared" si="108"/>
        <v>25</v>
      </c>
      <c r="CD47" s="1">
        <f t="shared" si="108"/>
        <v>25.294117647058822</v>
      </c>
      <c r="CE47" s="1">
        <f t="shared" si="114"/>
        <v>25.588235294117649</v>
      </c>
      <c r="CF47" s="1">
        <f t="shared" si="114"/>
        <v>25.882352941176471</v>
      </c>
      <c r="CG47" s="1">
        <f t="shared" si="114"/>
        <v>26.176470588235293</v>
      </c>
      <c r="CH47" s="1">
        <f t="shared" si="114"/>
        <v>26.470588235294116</v>
      </c>
      <c r="CI47" s="1">
        <f t="shared" si="114"/>
        <v>26.764705882352942</v>
      </c>
      <c r="CJ47" s="1">
        <f t="shared" si="114"/>
        <v>27.058823529411764</v>
      </c>
      <c r="CK47" s="1">
        <f t="shared" si="114"/>
        <v>27.352941176470587</v>
      </c>
      <c r="CL47" s="1">
        <f t="shared" si="114"/>
        <v>27.647058823529413</v>
      </c>
      <c r="CM47" s="1">
        <f t="shared" si="114"/>
        <v>27.941176470588236</v>
      </c>
      <c r="CN47" s="1">
        <f t="shared" si="114"/>
        <v>28.235294117647058</v>
      </c>
      <c r="CO47" s="1">
        <f t="shared" si="114"/>
        <v>28.529411764705884</v>
      </c>
      <c r="CP47" s="1">
        <f t="shared" si="114"/>
        <v>28.823529411764707</v>
      </c>
      <c r="CQ47" s="1">
        <f t="shared" si="114"/>
        <v>29.117647058823529</v>
      </c>
      <c r="CR47" s="1">
        <f t="shared" si="114"/>
        <v>29.411764705882351</v>
      </c>
      <c r="CS47" s="1">
        <f t="shared" si="114"/>
        <v>29.705882352941178</v>
      </c>
      <c r="CT47" s="1">
        <f t="shared" si="114"/>
        <v>30</v>
      </c>
      <c r="CU47" s="1">
        <f t="shared" si="112"/>
        <v>30.294117647058822</v>
      </c>
      <c r="CV47" s="1">
        <f t="shared" si="106"/>
        <v>30.588235294117649</v>
      </c>
      <c r="CW47" s="1">
        <f t="shared" si="115"/>
        <v>30.882352941176471</v>
      </c>
      <c r="CX47" s="1">
        <f t="shared" si="115"/>
        <v>31.176470588235293</v>
      </c>
      <c r="CY47" s="1">
        <f t="shared" si="115"/>
        <v>31.470588235294116</v>
      </c>
      <c r="CZ47" s="1">
        <f t="shared" si="115"/>
        <v>31.764705882352942</v>
      </c>
      <c r="DA47" s="1">
        <f t="shared" si="115"/>
        <v>32.058823529411768</v>
      </c>
      <c r="DB47" s="1">
        <f t="shared" si="115"/>
        <v>32.352941176470587</v>
      </c>
      <c r="DC47" s="1">
        <f t="shared" si="115"/>
        <v>32.647058823529413</v>
      </c>
      <c r="DD47" s="1">
        <f t="shared" si="115"/>
        <v>32.941176470588232</v>
      </c>
      <c r="DE47" s="1">
        <f t="shared" si="115"/>
        <v>33.235294117647058</v>
      </c>
      <c r="DF47" s="1">
        <f t="shared" si="115"/>
        <v>33.529411764705884</v>
      </c>
      <c r="DG47" s="1">
        <f t="shared" si="115"/>
        <v>33.823529411764703</v>
      </c>
      <c r="DH47" s="1">
        <f t="shared" si="115"/>
        <v>34.117647058823529</v>
      </c>
      <c r="DI47" s="1">
        <f t="shared" si="115"/>
        <v>34.411764705882355</v>
      </c>
      <c r="DJ47" s="1">
        <f t="shared" si="115"/>
        <v>34.705882352941174</v>
      </c>
      <c r="DK47" s="1">
        <f t="shared" si="115"/>
        <v>35</v>
      </c>
      <c r="DL47" s="1">
        <f t="shared" si="115"/>
        <v>35.294117647058826</v>
      </c>
      <c r="DM47" s="1">
        <f t="shared" si="113"/>
        <v>35.588235294117645</v>
      </c>
      <c r="DN47" s="1">
        <f t="shared" si="113"/>
        <v>35.882352941176471</v>
      </c>
      <c r="DO47" s="1">
        <f t="shared" si="113"/>
        <v>36.176470588235297</v>
      </c>
      <c r="DP47" s="1">
        <f t="shared" si="113"/>
        <v>36.470588235294116</v>
      </c>
      <c r="DQ47" s="1">
        <f t="shared" si="113"/>
        <v>36.764705882352942</v>
      </c>
      <c r="DR47" s="1">
        <f t="shared" si="113"/>
        <v>37.058823529411768</v>
      </c>
      <c r="DS47" s="1">
        <f t="shared" si="113"/>
        <v>37.352941176470587</v>
      </c>
    </row>
    <row r="48" spans="1:123" x14ac:dyDescent="0.3">
      <c r="A48" s="81"/>
      <c r="B48" s="13" t="str">
        <f t="shared" si="99"/>
        <v>0x23</v>
      </c>
      <c r="C48" s="12">
        <f t="shared" si="101"/>
        <v>35</v>
      </c>
      <c r="D48" s="1">
        <f t="shared" si="118"/>
        <v>2.2857142857142856</v>
      </c>
      <c r="E48" s="1">
        <f t="shared" si="118"/>
        <v>2.5714285714285716</v>
      </c>
      <c r="F48" s="1">
        <f t="shared" si="118"/>
        <v>2.8571428571428572</v>
      </c>
      <c r="G48" s="1">
        <f t="shared" si="118"/>
        <v>3.1428571428571428</v>
      </c>
      <c r="H48" s="1">
        <f t="shared" si="118"/>
        <v>3.4285714285714284</v>
      </c>
      <c r="I48" s="1">
        <f t="shared" si="118"/>
        <v>3.7142857142857144</v>
      </c>
      <c r="J48" s="1">
        <f t="shared" si="118"/>
        <v>4</v>
      </c>
      <c r="K48" s="1">
        <f t="shared" si="118"/>
        <v>4.2857142857142856</v>
      </c>
      <c r="L48" s="1">
        <f t="shared" si="118"/>
        <v>4.5714285714285712</v>
      </c>
      <c r="M48" s="1">
        <f t="shared" si="118"/>
        <v>4.8571428571428568</v>
      </c>
      <c r="N48" s="1">
        <f t="shared" si="118"/>
        <v>5.1428571428571432</v>
      </c>
      <c r="O48" s="1">
        <f t="shared" si="118"/>
        <v>5.4285714285714288</v>
      </c>
      <c r="P48" s="1">
        <f t="shared" si="118"/>
        <v>5.7142857142857144</v>
      </c>
      <c r="Q48" s="1">
        <f t="shared" si="118"/>
        <v>6</v>
      </c>
      <c r="R48" s="1">
        <f t="shared" si="118"/>
        <v>6.2857142857142856</v>
      </c>
      <c r="S48" s="1">
        <f t="shared" si="118"/>
        <v>6.5714285714285712</v>
      </c>
      <c r="T48" s="1">
        <f t="shared" si="116"/>
        <v>6.8571428571428568</v>
      </c>
      <c r="U48" s="1">
        <f t="shared" si="116"/>
        <v>7.1428571428571432</v>
      </c>
      <c r="V48" s="1">
        <f t="shared" si="116"/>
        <v>7.4285714285714288</v>
      </c>
      <c r="W48" s="1">
        <f t="shared" si="116"/>
        <v>7.7142857142857144</v>
      </c>
      <c r="X48" s="1">
        <f t="shared" si="116"/>
        <v>8</v>
      </c>
      <c r="Y48" s="1">
        <f t="shared" si="116"/>
        <v>8.2857142857142865</v>
      </c>
      <c r="Z48" s="1">
        <f t="shared" si="116"/>
        <v>8.5714285714285712</v>
      </c>
      <c r="AA48" s="1">
        <f t="shared" si="116"/>
        <v>8.8571428571428577</v>
      </c>
      <c r="AB48" s="1">
        <f t="shared" si="120"/>
        <v>9.1428571428571423</v>
      </c>
      <c r="AC48" s="1">
        <f t="shared" si="120"/>
        <v>9.4285714285714288</v>
      </c>
      <c r="AD48" s="1">
        <f t="shared" si="120"/>
        <v>9.7142857142857135</v>
      </c>
      <c r="AE48" s="1">
        <f t="shared" si="120"/>
        <v>10</v>
      </c>
      <c r="AF48" s="1">
        <f t="shared" si="120"/>
        <v>10.285714285714286</v>
      </c>
      <c r="AG48" s="1">
        <f t="shared" si="120"/>
        <v>10.571428571428571</v>
      </c>
      <c r="AH48" s="1">
        <f t="shared" si="120"/>
        <v>10.857142857142858</v>
      </c>
      <c r="AI48" s="1">
        <f t="shared" si="120"/>
        <v>11.142857142857142</v>
      </c>
      <c r="AJ48" s="1">
        <f t="shared" si="120"/>
        <v>11.428571428571429</v>
      </c>
      <c r="AK48" s="1">
        <f t="shared" si="120"/>
        <v>11.714285714285714</v>
      </c>
      <c r="AL48" s="1">
        <f t="shared" si="120"/>
        <v>12</v>
      </c>
      <c r="AM48" s="1">
        <f t="shared" si="120"/>
        <v>12.285714285714286</v>
      </c>
      <c r="AN48" s="1">
        <f t="shared" si="120"/>
        <v>12.571428571428571</v>
      </c>
      <c r="AO48" s="1">
        <f t="shared" si="120"/>
        <v>12.857142857142858</v>
      </c>
      <c r="AP48" s="1">
        <f t="shared" si="120"/>
        <v>13.142857142857142</v>
      </c>
      <c r="AQ48" s="1">
        <f t="shared" si="120"/>
        <v>13.428571428571429</v>
      </c>
      <c r="AR48" s="1">
        <f t="shared" si="119"/>
        <v>13.714285714285714</v>
      </c>
      <c r="AS48" s="1">
        <f t="shared" si="119"/>
        <v>14</v>
      </c>
      <c r="AT48" s="1">
        <f t="shared" si="119"/>
        <v>14.285714285714286</v>
      </c>
      <c r="AU48" s="1">
        <f t="shared" si="119"/>
        <v>14.571428571428571</v>
      </c>
      <c r="AV48" s="1">
        <f t="shared" si="119"/>
        <v>14.857142857142858</v>
      </c>
      <c r="AW48" s="1">
        <f t="shared" si="119"/>
        <v>15.142857142857142</v>
      </c>
      <c r="AX48" s="1">
        <f t="shared" si="119"/>
        <v>15.428571428571429</v>
      </c>
      <c r="AY48" s="1">
        <f t="shared" si="117"/>
        <v>15.714285714285714</v>
      </c>
      <c r="AZ48" s="1">
        <f t="shared" si="117"/>
        <v>16</v>
      </c>
      <c r="BA48" s="1">
        <f t="shared" si="117"/>
        <v>16.285714285714285</v>
      </c>
      <c r="BB48" s="1">
        <f t="shared" si="117"/>
        <v>16.571428571428573</v>
      </c>
      <c r="BC48" s="1">
        <f t="shared" si="117"/>
        <v>16.857142857142858</v>
      </c>
      <c r="BD48" s="1">
        <f t="shared" si="117"/>
        <v>17.142857142857142</v>
      </c>
      <c r="BE48" s="1">
        <f t="shared" si="117"/>
        <v>17.428571428571427</v>
      </c>
      <c r="BF48" s="1">
        <f t="shared" si="117"/>
        <v>17.714285714285715</v>
      </c>
      <c r="BG48" s="1">
        <f t="shared" si="117"/>
        <v>18</v>
      </c>
      <c r="BH48" s="1">
        <f t="shared" si="117"/>
        <v>18.285714285714285</v>
      </c>
      <c r="BI48" s="1">
        <f t="shared" si="117"/>
        <v>18.571428571428573</v>
      </c>
      <c r="BJ48" s="1">
        <f t="shared" si="117"/>
        <v>18.857142857142858</v>
      </c>
      <c r="BK48" s="1">
        <f t="shared" si="117"/>
        <v>19.142857142857142</v>
      </c>
      <c r="BL48" s="1">
        <f t="shared" si="117"/>
        <v>19.428571428571427</v>
      </c>
      <c r="BM48" s="1">
        <f t="shared" si="117"/>
        <v>19.714285714285715</v>
      </c>
      <c r="BN48" s="1">
        <f t="shared" si="117"/>
        <v>20</v>
      </c>
      <c r="BO48" s="1">
        <f t="shared" si="111"/>
        <v>20.285714285714285</v>
      </c>
      <c r="BP48" s="1">
        <f t="shared" si="108"/>
        <v>20.571428571428573</v>
      </c>
      <c r="BQ48" s="1">
        <f t="shared" si="108"/>
        <v>20.857142857142858</v>
      </c>
      <c r="BR48" s="1">
        <f t="shared" si="108"/>
        <v>21.142857142857142</v>
      </c>
      <c r="BS48" s="1">
        <f t="shared" si="108"/>
        <v>21.428571428571427</v>
      </c>
      <c r="BT48" s="1">
        <f t="shared" si="108"/>
        <v>21.714285714285715</v>
      </c>
      <c r="BU48" s="1">
        <f t="shared" si="108"/>
        <v>22</v>
      </c>
      <c r="BV48" s="1">
        <f t="shared" si="108"/>
        <v>22.285714285714285</v>
      </c>
      <c r="BW48" s="1">
        <f t="shared" si="108"/>
        <v>22.571428571428573</v>
      </c>
      <c r="BX48" s="1">
        <f t="shared" si="108"/>
        <v>22.857142857142858</v>
      </c>
      <c r="BY48" s="1">
        <f t="shared" si="108"/>
        <v>23.142857142857142</v>
      </c>
      <c r="BZ48" s="1">
        <f t="shared" si="108"/>
        <v>23.428571428571427</v>
      </c>
      <c r="CA48" s="1">
        <f t="shared" si="108"/>
        <v>23.714285714285715</v>
      </c>
      <c r="CB48" s="1">
        <f t="shared" si="108"/>
        <v>24</v>
      </c>
      <c r="CC48" s="1">
        <f t="shared" si="108"/>
        <v>24.285714285714285</v>
      </c>
      <c r="CD48" s="1">
        <f t="shared" si="108"/>
        <v>24.571428571428573</v>
      </c>
      <c r="CE48" s="1">
        <f t="shared" si="114"/>
        <v>24.857142857142858</v>
      </c>
      <c r="CF48" s="1">
        <f t="shared" si="114"/>
        <v>25.142857142857142</v>
      </c>
      <c r="CG48" s="1">
        <f t="shared" si="114"/>
        <v>25.428571428571427</v>
      </c>
      <c r="CH48" s="1">
        <f t="shared" si="114"/>
        <v>25.714285714285715</v>
      </c>
      <c r="CI48" s="1">
        <f t="shared" si="114"/>
        <v>26</v>
      </c>
      <c r="CJ48" s="1">
        <f t="shared" si="114"/>
        <v>26.285714285714285</v>
      </c>
      <c r="CK48" s="1">
        <f t="shared" si="114"/>
        <v>26.571428571428573</v>
      </c>
      <c r="CL48" s="1">
        <f t="shared" si="114"/>
        <v>26.857142857142858</v>
      </c>
      <c r="CM48" s="1">
        <f t="shared" si="114"/>
        <v>27.142857142857142</v>
      </c>
      <c r="CN48" s="1">
        <f t="shared" si="114"/>
        <v>27.428571428571427</v>
      </c>
      <c r="CO48" s="1">
        <f t="shared" si="114"/>
        <v>27.714285714285715</v>
      </c>
      <c r="CP48" s="1">
        <f t="shared" si="114"/>
        <v>28</v>
      </c>
      <c r="CQ48" s="1">
        <f t="shared" si="114"/>
        <v>28.285714285714285</v>
      </c>
      <c r="CR48" s="1">
        <f t="shared" si="114"/>
        <v>28.571428571428573</v>
      </c>
      <c r="CS48" s="1">
        <f t="shared" si="114"/>
        <v>28.857142857142858</v>
      </c>
      <c r="CT48" s="1">
        <f t="shared" si="114"/>
        <v>29.142857142857142</v>
      </c>
      <c r="CU48" s="1">
        <f t="shared" si="112"/>
        <v>29.428571428571427</v>
      </c>
      <c r="CV48" s="1">
        <f t="shared" si="106"/>
        <v>29.714285714285715</v>
      </c>
      <c r="CW48" s="1">
        <f t="shared" si="115"/>
        <v>30</v>
      </c>
      <c r="CX48" s="1">
        <f t="shared" si="115"/>
        <v>30.285714285714285</v>
      </c>
      <c r="CY48" s="1">
        <f t="shared" si="115"/>
        <v>30.571428571428573</v>
      </c>
      <c r="CZ48" s="1">
        <f t="shared" si="115"/>
        <v>30.857142857142858</v>
      </c>
      <c r="DA48" s="1">
        <f t="shared" si="115"/>
        <v>31.142857142857142</v>
      </c>
      <c r="DB48" s="1">
        <f t="shared" si="115"/>
        <v>31.428571428571427</v>
      </c>
      <c r="DC48" s="1">
        <f t="shared" si="115"/>
        <v>31.714285714285715</v>
      </c>
      <c r="DD48" s="1">
        <f t="shared" si="115"/>
        <v>32</v>
      </c>
      <c r="DE48" s="1">
        <f t="shared" si="115"/>
        <v>32.285714285714285</v>
      </c>
      <c r="DF48" s="1">
        <f t="shared" si="115"/>
        <v>32.571428571428569</v>
      </c>
      <c r="DG48" s="1">
        <f t="shared" si="115"/>
        <v>32.857142857142854</v>
      </c>
      <c r="DH48" s="1">
        <f t="shared" si="115"/>
        <v>33.142857142857146</v>
      </c>
      <c r="DI48" s="1">
        <f t="shared" si="115"/>
        <v>33.428571428571431</v>
      </c>
      <c r="DJ48" s="1">
        <f t="shared" si="115"/>
        <v>33.714285714285715</v>
      </c>
      <c r="DK48" s="1">
        <f t="shared" si="115"/>
        <v>34</v>
      </c>
      <c r="DL48" s="1">
        <f t="shared" si="115"/>
        <v>34.285714285714285</v>
      </c>
      <c r="DM48" s="1">
        <f t="shared" si="113"/>
        <v>34.571428571428569</v>
      </c>
      <c r="DN48" s="1">
        <f t="shared" si="113"/>
        <v>34.857142857142854</v>
      </c>
      <c r="DO48" s="1">
        <f t="shared" si="113"/>
        <v>35.142857142857146</v>
      </c>
      <c r="DP48" s="1">
        <f t="shared" si="113"/>
        <v>35.428571428571431</v>
      </c>
      <c r="DQ48" s="1">
        <f t="shared" si="113"/>
        <v>35.714285714285715</v>
      </c>
      <c r="DR48" s="1">
        <f t="shared" si="113"/>
        <v>36</v>
      </c>
      <c r="DS48" s="1">
        <f t="shared" si="113"/>
        <v>36.285714285714285</v>
      </c>
    </row>
    <row r="49" spans="1:123" x14ac:dyDescent="0.3">
      <c r="A49" s="81"/>
      <c r="B49" s="13" t="str">
        <f t="shared" si="99"/>
        <v>0x24</v>
      </c>
      <c r="C49" s="12">
        <f t="shared" si="101"/>
        <v>36</v>
      </c>
      <c r="D49" s="1">
        <f t="shared" si="118"/>
        <v>2.2222222222222223</v>
      </c>
      <c r="E49" s="1">
        <f t="shared" si="118"/>
        <v>2.5</v>
      </c>
      <c r="F49" s="1">
        <f t="shared" si="118"/>
        <v>2.7777777777777777</v>
      </c>
      <c r="G49" s="1">
        <f t="shared" si="118"/>
        <v>3.0555555555555554</v>
      </c>
      <c r="H49" s="1">
        <f t="shared" si="118"/>
        <v>3.3333333333333335</v>
      </c>
      <c r="I49" s="1">
        <f t="shared" si="118"/>
        <v>3.6111111111111112</v>
      </c>
      <c r="J49" s="1">
        <f t="shared" si="118"/>
        <v>3.8888888888888888</v>
      </c>
      <c r="K49" s="1">
        <f t="shared" si="118"/>
        <v>4.166666666666667</v>
      </c>
      <c r="L49" s="1">
        <f t="shared" si="118"/>
        <v>4.4444444444444446</v>
      </c>
      <c r="M49" s="1">
        <f t="shared" si="118"/>
        <v>4.7222222222222223</v>
      </c>
      <c r="N49" s="1">
        <f t="shared" si="118"/>
        <v>5</v>
      </c>
      <c r="O49" s="1">
        <f t="shared" si="118"/>
        <v>5.2777777777777777</v>
      </c>
      <c r="P49" s="1">
        <f t="shared" si="118"/>
        <v>5.5555555555555554</v>
      </c>
      <c r="Q49" s="1">
        <f t="shared" si="118"/>
        <v>5.833333333333333</v>
      </c>
      <c r="R49" s="1">
        <f t="shared" si="118"/>
        <v>6.1111111111111107</v>
      </c>
      <c r="S49" s="1">
        <f t="shared" si="118"/>
        <v>6.3888888888888893</v>
      </c>
      <c r="T49" s="1">
        <f t="shared" si="116"/>
        <v>6.666666666666667</v>
      </c>
      <c r="U49" s="1">
        <f t="shared" si="116"/>
        <v>6.9444444444444446</v>
      </c>
      <c r="V49" s="1">
        <f t="shared" si="116"/>
        <v>7.2222222222222223</v>
      </c>
      <c r="W49" s="1">
        <f t="shared" si="116"/>
        <v>7.5</v>
      </c>
      <c r="X49" s="1">
        <f t="shared" si="116"/>
        <v>7.7777777777777777</v>
      </c>
      <c r="Y49" s="1">
        <f t="shared" si="116"/>
        <v>8.0555555555555554</v>
      </c>
      <c r="Z49" s="1">
        <f t="shared" si="116"/>
        <v>8.3333333333333339</v>
      </c>
      <c r="AA49" s="1">
        <f t="shared" si="116"/>
        <v>8.6111111111111107</v>
      </c>
      <c r="AB49" s="1">
        <f t="shared" si="120"/>
        <v>8.8888888888888893</v>
      </c>
      <c r="AC49" s="1">
        <f t="shared" si="120"/>
        <v>9.1666666666666661</v>
      </c>
      <c r="AD49" s="1">
        <f t="shared" si="120"/>
        <v>9.4444444444444446</v>
      </c>
      <c r="AE49" s="1">
        <f t="shared" si="120"/>
        <v>9.7222222222222214</v>
      </c>
      <c r="AF49" s="1">
        <f t="shared" si="120"/>
        <v>10</v>
      </c>
      <c r="AG49" s="1">
        <f t="shared" si="120"/>
        <v>10.277777777777779</v>
      </c>
      <c r="AH49" s="1">
        <f t="shared" si="120"/>
        <v>10.555555555555555</v>
      </c>
      <c r="AI49" s="1">
        <f t="shared" si="120"/>
        <v>10.833333333333334</v>
      </c>
      <c r="AJ49" s="1">
        <f t="shared" si="120"/>
        <v>11.111111111111111</v>
      </c>
      <c r="AK49" s="1">
        <f t="shared" si="120"/>
        <v>11.388888888888889</v>
      </c>
      <c r="AL49" s="1">
        <f t="shared" si="120"/>
        <v>11.666666666666666</v>
      </c>
      <c r="AM49" s="1">
        <f t="shared" si="120"/>
        <v>11.944444444444445</v>
      </c>
      <c r="AN49" s="1">
        <f t="shared" si="120"/>
        <v>12.222222222222221</v>
      </c>
      <c r="AO49" s="1">
        <f t="shared" si="120"/>
        <v>12.5</v>
      </c>
      <c r="AP49" s="1">
        <f t="shared" si="120"/>
        <v>12.777777777777779</v>
      </c>
      <c r="AQ49" s="1">
        <f t="shared" si="120"/>
        <v>13.055555555555555</v>
      </c>
      <c r="AR49" s="1">
        <f t="shared" si="119"/>
        <v>13.333333333333334</v>
      </c>
      <c r="AS49" s="1">
        <f t="shared" si="119"/>
        <v>13.611111111111111</v>
      </c>
      <c r="AT49" s="1">
        <f t="shared" si="119"/>
        <v>13.888888888888889</v>
      </c>
      <c r="AU49" s="1">
        <f t="shared" si="119"/>
        <v>14.166666666666666</v>
      </c>
      <c r="AV49" s="1">
        <f t="shared" si="119"/>
        <v>14.444444444444445</v>
      </c>
      <c r="AW49" s="1">
        <f t="shared" si="119"/>
        <v>14.722222222222221</v>
      </c>
      <c r="AX49" s="1">
        <f t="shared" si="119"/>
        <v>15</v>
      </c>
      <c r="AY49" s="1">
        <f t="shared" si="117"/>
        <v>15.277777777777779</v>
      </c>
      <c r="AZ49" s="1">
        <f t="shared" si="117"/>
        <v>15.555555555555555</v>
      </c>
      <c r="BA49" s="1">
        <f t="shared" si="117"/>
        <v>15.833333333333334</v>
      </c>
      <c r="BB49" s="1">
        <f t="shared" si="117"/>
        <v>16.111111111111111</v>
      </c>
      <c r="BC49" s="1">
        <f t="shared" si="117"/>
        <v>16.388888888888889</v>
      </c>
      <c r="BD49" s="1">
        <f t="shared" si="117"/>
        <v>16.666666666666668</v>
      </c>
      <c r="BE49" s="1">
        <f t="shared" si="117"/>
        <v>16.944444444444443</v>
      </c>
      <c r="BF49" s="1">
        <f t="shared" si="117"/>
        <v>17.222222222222221</v>
      </c>
      <c r="BG49" s="1">
        <f t="shared" si="117"/>
        <v>17.5</v>
      </c>
      <c r="BH49" s="1">
        <f t="shared" si="117"/>
        <v>17.777777777777779</v>
      </c>
      <c r="BI49" s="1">
        <f t="shared" si="117"/>
        <v>18.055555555555557</v>
      </c>
      <c r="BJ49" s="1">
        <f t="shared" si="117"/>
        <v>18.333333333333332</v>
      </c>
      <c r="BK49" s="1">
        <f t="shared" si="117"/>
        <v>18.611111111111111</v>
      </c>
      <c r="BL49" s="1">
        <f t="shared" si="117"/>
        <v>18.888888888888889</v>
      </c>
      <c r="BM49" s="1">
        <f t="shared" si="117"/>
        <v>19.166666666666668</v>
      </c>
      <c r="BN49" s="1">
        <f t="shared" si="117"/>
        <v>19.444444444444443</v>
      </c>
      <c r="BO49" s="1">
        <f t="shared" si="111"/>
        <v>19.722222222222221</v>
      </c>
      <c r="BP49" s="1">
        <f t="shared" si="108"/>
        <v>20</v>
      </c>
      <c r="BQ49" s="1">
        <f t="shared" si="108"/>
        <v>20.277777777777779</v>
      </c>
      <c r="BR49" s="1">
        <f t="shared" si="108"/>
        <v>20.555555555555557</v>
      </c>
      <c r="BS49" s="1">
        <f t="shared" si="108"/>
        <v>20.833333333333332</v>
      </c>
      <c r="BT49" s="1">
        <f t="shared" si="108"/>
        <v>21.111111111111111</v>
      </c>
      <c r="BU49" s="1">
        <f t="shared" si="108"/>
        <v>21.388888888888889</v>
      </c>
      <c r="BV49" s="1">
        <f t="shared" si="108"/>
        <v>21.666666666666668</v>
      </c>
      <c r="BW49" s="1">
        <f t="shared" si="108"/>
        <v>21.944444444444443</v>
      </c>
      <c r="BX49" s="1">
        <f t="shared" si="108"/>
        <v>22.222222222222221</v>
      </c>
      <c r="BY49" s="1">
        <f t="shared" si="108"/>
        <v>22.5</v>
      </c>
      <c r="BZ49" s="1">
        <f t="shared" si="108"/>
        <v>22.777777777777779</v>
      </c>
      <c r="CA49" s="1">
        <f t="shared" si="108"/>
        <v>23.055555555555557</v>
      </c>
      <c r="CB49" s="1">
        <f t="shared" si="108"/>
        <v>23.333333333333332</v>
      </c>
      <c r="CC49" s="1">
        <f t="shared" si="108"/>
        <v>23.611111111111111</v>
      </c>
      <c r="CD49" s="1">
        <f t="shared" si="108"/>
        <v>23.888888888888889</v>
      </c>
      <c r="CE49" s="1">
        <f t="shared" si="114"/>
        <v>24.166666666666668</v>
      </c>
      <c r="CF49" s="1">
        <f t="shared" si="114"/>
        <v>24.444444444444443</v>
      </c>
      <c r="CG49" s="1">
        <f t="shared" si="114"/>
        <v>24.722222222222221</v>
      </c>
      <c r="CH49" s="1">
        <f t="shared" si="114"/>
        <v>25</v>
      </c>
      <c r="CI49" s="1">
        <f t="shared" si="114"/>
        <v>25.277777777777779</v>
      </c>
      <c r="CJ49" s="1">
        <f t="shared" si="114"/>
        <v>25.555555555555557</v>
      </c>
      <c r="CK49" s="1">
        <f t="shared" si="114"/>
        <v>25.833333333333332</v>
      </c>
      <c r="CL49" s="1">
        <f t="shared" si="114"/>
        <v>26.111111111111111</v>
      </c>
      <c r="CM49" s="1">
        <f t="shared" si="114"/>
        <v>26.388888888888889</v>
      </c>
      <c r="CN49" s="1">
        <f t="shared" si="114"/>
        <v>26.666666666666668</v>
      </c>
      <c r="CO49" s="1">
        <f t="shared" si="114"/>
        <v>26.944444444444443</v>
      </c>
      <c r="CP49" s="1">
        <f t="shared" si="114"/>
        <v>27.222222222222221</v>
      </c>
      <c r="CQ49" s="1">
        <f t="shared" si="114"/>
        <v>27.5</v>
      </c>
      <c r="CR49" s="1">
        <f t="shared" si="114"/>
        <v>27.777777777777779</v>
      </c>
      <c r="CS49" s="1">
        <f t="shared" si="114"/>
        <v>28.055555555555557</v>
      </c>
      <c r="CT49" s="1">
        <f t="shared" si="114"/>
        <v>28.333333333333332</v>
      </c>
      <c r="CU49" s="1">
        <f t="shared" si="112"/>
        <v>28.611111111111111</v>
      </c>
      <c r="CV49" s="1">
        <f t="shared" ref="CV49:DK76" si="121">IF($U$3=0,0,($U$2*CV$13)/($C49*$U$3))</f>
        <v>28.888888888888889</v>
      </c>
      <c r="CW49" s="1">
        <f t="shared" si="121"/>
        <v>29.166666666666668</v>
      </c>
      <c r="CX49" s="1">
        <f t="shared" si="121"/>
        <v>29.444444444444443</v>
      </c>
      <c r="CY49" s="1">
        <f t="shared" si="121"/>
        <v>29.722222222222221</v>
      </c>
      <c r="CZ49" s="1">
        <f t="shared" si="121"/>
        <v>30</v>
      </c>
      <c r="DA49" s="1">
        <f t="shared" si="121"/>
        <v>30.277777777777779</v>
      </c>
      <c r="DB49" s="1">
        <f t="shared" si="121"/>
        <v>30.555555555555557</v>
      </c>
      <c r="DC49" s="1">
        <f t="shared" si="121"/>
        <v>30.833333333333332</v>
      </c>
      <c r="DD49" s="1">
        <f t="shared" si="121"/>
        <v>31.111111111111111</v>
      </c>
      <c r="DE49" s="1">
        <f t="shared" si="121"/>
        <v>31.388888888888889</v>
      </c>
      <c r="DF49" s="1">
        <f t="shared" si="121"/>
        <v>31.666666666666668</v>
      </c>
      <c r="DG49" s="1">
        <f t="shared" si="121"/>
        <v>31.944444444444443</v>
      </c>
      <c r="DH49" s="1">
        <f t="shared" si="121"/>
        <v>32.222222222222221</v>
      </c>
      <c r="DI49" s="1">
        <f t="shared" si="121"/>
        <v>32.5</v>
      </c>
      <c r="DJ49" s="1">
        <f t="shared" si="121"/>
        <v>32.777777777777779</v>
      </c>
      <c r="DK49" s="1">
        <f t="shared" si="121"/>
        <v>33.055555555555557</v>
      </c>
      <c r="DL49" s="1">
        <f t="shared" si="115"/>
        <v>33.333333333333336</v>
      </c>
      <c r="DM49" s="1">
        <f t="shared" si="113"/>
        <v>33.611111111111114</v>
      </c>
      <c r="DN49" s="1">
        <f t="shared" si="113"/>
        <v>33.888888888888886</v>
      </c>
      <c r="DO49" s="1">
        <f t="shared" si="113"/>
        <v>34.166666666666664</v>
      </c>
      <c r="DP49" s="1">
        <f t="shared" si="113"/>
        <v>34.444444444444443</v>
      </c>
      <c r="DQ49" s="1">
        <f t="shared" si="113"/>
        <v>34.722222222222221</v>
      </c>
      <c r="DR49" s="1">
        <f t="shared" si="113"/>
        <v>35</v>
      </c>
      <c r="DS49" s="1">
        <f t="shared" si="113"/>
        <v>35.277777777777779</v>
      </c>
    </row>
    <row r="50" spans="1:123" x14ac:dyDescent="0.3">
      <c r="A50" s="81"/>
      <c r="B50" s="13" t="str">
        <f t="shared" si="99"/>
        <v>0x25</v>
      </c>
      <c r="C50" s="12">
        <f t="shared" si="101"/>
        <v>37</v>
      </c>
      <c r="D50" s="1">
        <f t="shared" si="118"/>
        <v>2.1621621621621623</v>
      </c>
      <c r="E50" s="1">
        <f t="shared" si="118"/>
        <v>2.4324324324324325</v>
      </c>
      <c r="F50" s="1">
        <f t="shared" si="118"/>
        <v>2.7027027027027026</v>
      </c>
      <c r="G50" s="1">
        <f t="shared" si="118"/>
        <v>2.9729729729729728</v>
      </c>
      <c r="H50" s="1">
        <f t="shared" si="118"/>
        <v>3.2432432432432434</v>
      </c>
      <c r="I50" s="1">
        <f t="shared" si="118"/>
        <v>3.5135135135135136</v>
      </c>
      <c r="J50" s="1">
        <f t="shared" si="118"/>
        <v>3.7837837837837838</v>
      </c>
      <c r="K50" s="1">
        <f t="shared" si="118"/>
        <v>4.0540540540540544</v>
      </c>
      <c r="L50" s="1">
        <f t="shared" si="118"/>
        <v>4.3243243243243246</v>
      </c>
      <c r="M50" s="1">
        <f t="shared" si="118"/>
        <v>4.5945945945945947</v>
      </c>
      <c r="N50" s="1">
        <f t="shared" si="118"/>
        <v>4.8648648648648649</v>
      </c>
      <c r="O50" s="1">
        <f t="shared" si="118"/>
        <v>5.1351351351351351</v>
      </c>
      <c r="P50" s="1">
        <f t="shared" si="118"/>
        <v>5.4054054054054053</v>
      </c>
      <c r="Q50" s="1">
        <f t="shared" si="118"/>
        <v>5.6756756756756754</v>
      </c>
      <c r="R50" s="1">
        <f t="shared" si="118"/>
        <v>5.9459459459459456</v>
      </c>
      <c r="S50" s="1">
        <f t="shared" si="118"/>
        <v>6.2162162162162158</v>
      </c>
      <c r="T50" s="1">
        <f t="shared" si="116"/>
        <v>6.4864864864864868</v>
      </c>
      <c r="U50" s="1">
        <f t="shared" si="116"/>
        <v>6.756756756756757</v>
      </c>
      <c r="V50" s="1">
        <f t="shared" si="116"/>
        <v>7.0270270270270272</v>
      </c>
      <c r="W50" s="1">
        <f t="shared" si="116"/>
        <v>7.2972972972972974</v>
      </c>
      <c r="X50" s="1">
        <f t="shared" si="116"/>
        <v>7.5675675675675675</v>
      </c>
      <c r="Y50" s="1">
        <f t="shared" si="116"/>
        <v>7.8378378378378377</v>
      </c>
      <c r="Z50" s="1">
        <f t="shared" si="116"/>
        <v>8.1081081081081088</v>
      </c>
      <c r="AA50" s="1">
        <f t="shared" si="116"/>
        <v>8.378378378378379</v>
      </c>
      <c r="AB50" s="1">
        <f t="shared" si="120"/>
        <v>8.6486486486486491</v>
      </c>
      <c r="AC50" s="1">
        <f t="shared" si="120"/>
        <v>8.9189189189189193</v>
      </c>
      <c r="AD50" s="1">
        <f t="shared" si="120"/>
        <v>9.1891891891891895</v>
      </c>
      <c r="AE50" s="1">
        <f t="shared" si="120"/>
        <v>9.4594594594594597</v>
      </c>
      <c r="AF50" s="1">
        <f t="shared" si="120"/>
        <v>9.7297297297297298</v>
      </c>
      <c r="AG50" s="1">
        <f t="shared" si="120"/>
        <v>10</v>
      </c>
      <c r="AH50" s="1">
        <f t="shared" si="120"/>
        <v>10.27027027027027</v>
      </c>
      <c r="AI50" s="1">
        <f t="shared" si="120"/>
        <v>10.54054054054054</v>
      </c>
      <c r="AJ50" s="1">
        <f t="shared" si="120"/>
        <v>10.810810810810811</v>
      </c>
      <c r="AK50" s="1">
        <f t="shared" si="120"/>
        <v>11.081081081081081</v>
      </c>
      <c r="AL50" s="1">
        <f t="shared" si="120"/>
        <v>11.351351351351351</v>
      </c>
      <c r="AM50" s="1">
        <f t="shared" si="120"/>
        <v>11.621621621621621</v>
      </c>
      <c r="AN50" s="1">
        <f t="shared" si="120"/>
        <v>11.891891891891891</v>
      </c>
      <c r="AO50" s="1">
        <f t="shared" si="120"/>
        <v>12.162162162162161</v>
      </c>
      <c r="AP50" s="1">
        <f t="shared" si="120"/>
        <v>12.432432432432432</v>
      </c>
      <c r="AQ50" s="1">
        <f t="shared" si="120"/>
        <v>12.702702702702704</v>
      </c>
      <c r="AR50" s="1">
        <f t="shared" si="119"/>
        <v>12.972972972972974</v>
      </c>
      <c r="AS50" s="1">
        <f t="shared" si="119"/>
        <v>13.243243243243244</v>
      </c>
      <c r="AT50" s="1">
        <f t="shared" si="119"/>
        <v>13.513513513513514</v>
      </c>
      <c r="AU50" s="1">
        <f t="shared" si="119"/>
        <v>13.783783783783784</v>
      </c>
      <c r="AV50" s="1">
        <f t="shared" si="119"/>
        <v>14.054054054054054</v>
      </c>
      <c r="AW50" s="1">
        <f t="shared" si="119"/>
        <v>14.324324324324325</v>
      </c>
      <c r="AX50" s="1">
        <f t="shared" si="119"/>
        <v>14.594594594594595</v>
      </c>
      <c r="AY50" s="1">
        <f t="shared" si="117"/>
        <v>14.864864864864865</v>
      </c>
      <c r="AZ50" s="1">
        <f t="shared" si="117"/>
        <v>15.135135135135135</v>
      </c>
      <c r="BA50" s="1">
        <f t="shared" si="117"/>
        <v>15.405405405405405</v>
      </c>
      <c r="BB50" s="1">
        <f t="shared" si="117"/>
        <v>15.675675675675675</v>
      </c>
      <c r="BC50" s="1">
        <f t="shared" si="117"/>
        <v>15.945945945945946</v>
      </c>
      <c r="BD50" s="1">
        <f t="shared" si="117"/>
        <v>16.216216216216218</v>
      </c>
      <c r="BE50" s="1">
        <f t="shared" si="117"/>
        <v>16.486486486486488</v>
      </c>
      <c r="BF50" s="1">
        <f t="shared" si="117"/>
        <v>16.756756756756758</v>
      </c>
      <c r="BG50" s="1">
        <f t="shared" si="117"/>
        <v>17.027027027027028</v>
      </c>
      <c r="BH50" s="1">
        <f t="shared" si="117"/>
        <v>17.297297297297298</v>
      </c>
      <c r="BI50" s="1">
        <f t="shared" si="117"/>
        <v>17.567567567567568</v>
      </c>
      <c r="BJ50" s="1">
        <f t="shared" si="117"/>
        <v>17.837837837837839</v>
      </c>
      <c r="BK50" s="1">
        <f t="shared" si="117"/>
        <v>18.108108108108109</v>
      </c>
      <c r="BL50" s="1">
        <f t="shared" si="117"/>
        <v>18.378378378378379</v>
      </c>
      <c r="BM50" s="1">
        <f t="shared" si="117"/>
        <v>18.648648648648649</v>
      </c>
      <c r="BN50" s="1">
        <f t="shared" si="117"/>
        <v>18.918918918918919</v>
      </c>
      <c r="BO50" s="1">
        <f t="shared" si="111"/>
        <v>19.189189189189189</v>
      </c>
      <c r="BP50" s="1">
        <f t="shared" si="108"/>
        <v>19.45945945945946</v>
      </c>
      <c r="BQ50" s="1">
        <f t="shared" si="108"/>
        <v>19.72972972972973</v>
      </c>
      <c r="BR50" s="1">
        <f t="shared" si="108"/>
        <v>20</v>
      </c>
      <c r="BS50" s="1">
        <f t="shared" si="108"/>
        <v>20.27027027027027</v>
      </c>
      <c r="BT50" s="1">
        <f t="shared" si="108"/>
        <v>20.54054054054054</v>
      </c>
      <c r="BU50" s="1">
        <f t="shared" si="108"/>
        <v>20.810810810810811</v>
      </c>
      <c r="BV50" s="1">
        <f t="shared" si="108"/>
        <v>21.081081081081081</v>
      </c>
      <c r="BW50" s="1">
        <f t="shared" si="108"/>
        <v>21.351351351351351</v>
      </c>
      <c r="BX50" s="1">
        <f t="shared" si="108"/>
        <v>21.621621621621621</v>
      </c>
      <c r="BY50" s="1">
        <f t="shared" si="108"/>
        <v>21.891891891891891</v>
      </c>
      <c r="BZ50" s="1">
        <f t="shared" si="108"/>
        <v>22.162162162162161</v>
      </c>
      <c r="CA50" s="1">
        <f t="shared" si="108"/>
        <v>22.432432432432432</v>
      </c>
      <c r="CB50" s="1">
        <f t="shared" si="108"/>
        <v>22.702702702702702</v>
      </c>
      <c r="CC50" s="1">
        <f t="shared" si="108"/>
        <v>22.972972972972972</v>
      </c>
      <c r="CD50" s="1">
        <f t="shared" si="108"/>
        <v>23.243243243243242</v>
      </c>
      <c r="CE50" s="1">
        <f t="shared" si="114"/>
        <v>23.513513513513512</v>
      </c>
      <c r="CF50" s="1">
        <f t="shared" si="114"/>
        <v>23.783783783783782</v>
      </c>
      <c r="CG50" s="1">
        <f t="shared" si="114"/>
        <v>24.054054054054053</v>
      </c>
      <c r="CH50" s="1">
        <f t="shared" si="114"/>
        <v>24.324324324324323</v>
      </c>
      <c r="CI50" s="1">
        <f t="shared" si="114"/>
        <v>24.594594594594593</v>
      </c>
      <c r="CJ50" s="1">
        <f t="shared" si="114"/>
        <v>24.864864864864863</v>
      </c>
      <c r="CK50" s="1">
        <f t="shared" si="114"/>
        <v>25.135135135135137</v>
      </c>
      <c r="CL50" s="1">
        <f t="shared" si="114"/>
        <v>25.405405405405407</v>
      </c>
      <c r="CM50" s="1">
        <f t="shared" si="114"/>
        <v>25.675675675675677</v>
      </c>
      <c r="CN50" s="1">
        <f t="shared" si="114"/>
        <v>25.945945945945947</v>
      </c>
      <c r="CO50" s="1">
        <f t="shared" si="114"/>
        <v>26.216216216216218</v>
      </c>
      <c r="CP50" s="1">
        <f t="shared" si="114"/>
        <v>26.486486486486488</v>
      </c>
      <c r="CQ50" s="1">
        <f t="shared" si="114"/>
        <v>26.756756756756758</v>
      </c>
      <c r="CR50" s="1">
        <f t="shared" si="114"/>
        <v>27.027027027027028</v>
      </c>
      <c r="CS50" s="1">
        <f t="shared" si="114"/>
        <v>27.297297297297298</v>
      </c>
      <c r="CT50" s="1">
        <f t="shared" ref="CT50:DI65" si="122">IF($U$3=0,0,($U$2*CT$13)/($C50*$U$3))</f>
        <v>27.567567567567568</v>
      </c>
      <c r="CU50" s="1">
        <f t="shared" si="122"/>
        <v>27.837837837837839</v>
      </c>
      <c r="CV50" s="1">
        <f t="shared" si="122"/>
        <v>28.108108108108109</v>
      </c>
      <c r="CW50" s="1">
        <f t="shared" si="122"/>
        <v>28.378378378378379</v>
      </c>
      <c r="CX50" s="1">
        <f t="shared" si="122"/>
        <v>28.648648648648649</v>
      </c>
      <c r="CY50" s="1">
        <f t="shared" si="122"/>
        <v>28.918918918918919</v>
      </c>
      <c r="CZ50" s="1">
        <f t="shared" si="122"/>
        <v>29.189189189189189</v>
      </c>
      <c r="DA50" s="1">
        <f t="shared" si="122"/>
        <v>29.45945945945946</v>
      </c>
      <c r="DB50" s="1">
        <f t="shared" si="122"/>
        <v>29.72972972972973</v>
      </c>
      <c r="DC50" s="1">
        <f t="shared" si="122"/>
        <v>30</v>
      </c>
      <c r="DD50" s="1">
        <f t="shared" si="122"/>
        <v>30.27027027027027</v>
      </c>
      <c r="DE50" s="1">
        <f t="shared" si="122"/>
        <v>30.54054054054054</v>
      </c>
      <c r="DF50" s="1">
        <f t="shared" si="122"/>
        <v>30.810810810810811</v>
      </c>
      <c r="DG50" s="1">
        <f t="shared" si="122"/>
        <v>31.081081081081081</v>
      </c>
      <c r="DH50" s="1">
        <f t="shared" si="122"/>
        <v>31.351351351351351</v>
      </c>
      <c r="DI50" s="1">
        <f t="shared" si="122"/>
        <v>31.621621621621621</v>
      </c>
      <c r="DJ50" s="1">
        <f t="shared" si="121"/>
        <v>31.891891891891891</v>
      </c>
      <c r="DK50" s="1">
        <f t="shared" si="121"/>
        <v>32.162162162162161</v>
      </c>
      <c r="DL50" s="1">
        <f t="shared" si="115"/>
        <v>32.432432432432435</v>
      </c>
      <c r="DM50" s="1">
        <f t="shared" si="113"/>
        <v>32.702702702702702</v>
      </c>
      <c r="DN50" s="1">
        <f t="shared" si="113"/>
        <v>32.972972972972975</v>
      </c>
      <c r="DO50" s="1">
        <f t="shared" si="113"/>
        <v>33.243243243243242</v>
      </c>
      <c r="DP50" s="1">
        <f t="shared" si="113"/>
        <v>33.513513513513516</v>
      </c>
      <c r="DQ50" s="1">
        <f t="shared" si="113"/>
        <v>33.783783783783782</v>
      </c>
      <c r="DR50" s="1">
        <f t="shared" si="113"/>
        <v>34.054054054054056</v>
      </c>
      <c r="DS50" s="1">
        <f t="shared" si="113"/>
        <v>34.324324324324323</v>
      </c>
    </row>
    <row r="51" spans="1:123" x14ac:dyDescent="0.3">
      <c r="A51" s="81"/>
      <c r="B51" s="13" t="str">
        <f t="shared" si="99"/>
        <v>0x26</v>
      </c>
      <c r="C51" s="12">
        <f t="shared" si="101"/>
        <v>38</v>
      </c>
      <c r="D51" s="1">
        <f t="shared" si="118"/>
        <v>2.1052631578947367</v>
      </c>
      <c r="E51" s="1">
        <f t="shared" si="118"/>
        <v>2.3684210526315788</v>
      </c>
      <c r="F51" s="1">
        <f t="shared" si="118"/>
        <v>2.6315789473684212</v>
      </c>
      <c r="G51" s="1">
        <f t="shared" si="118"/>
        <v>2.8947368421052633</v>
      </c>
      <c r="H51" s="1">
        <f t="shared" si="118"/>
        <v>3.1578947368421053</v>
      </c>
      <c r="I51" s="1">
        <f t="shared" si="118"/>
        <v>3.4210526315789473</v>
      </c>
      <c r="J51" s="1">
        <f t="shared" si="118"/>
        <v>3.6842105263157894</v>
      </c>
      <c r="K51" s="1">
        <f t="shared" si="118"/>
        <v>3.9473684210526314</v>
      </c>
      <c r="L51" s="1">
        <f t="shared" si="118"/>
        <v>4.2105263157894735</v>
      </c>
      <c r="M51" s="1">
        <f t="shared" si="118"/>
        <v>4.4736842105263159</v>
      </c>
      <c r="N51" s="1">
        <f t="shared" si="118"/>
        <v>4.7368421052631575</v>
      </c>
      <c r="O51" s="1">
        <f t="shared" si="118"/>
        <v>5</v>
      </c>
      <c r="P51" s="1">
        <f t="shared" si="118"/>
        <v>5.2631578947368425</v>
      </c>
      <c r="Q51" s="1">
        <f t="shared" si="118"/>
        <v>5.5263157894736841</v>
      </c>
      <c r="R51" s="1">
        <f t="shared" si="118"/>
        <v>5.7894736842105265</v>
      </c>
      <c r="S51" s="1">
        <f t="shared" si="118"/>
        <v>6.0526315789473681</v>
      </c>
      <c r="T51" s="1">
        <f t="shared" si="116"/>
        <v>6.3157894736842106</v>
      </c>
      <c r="U51" s="1">
        <f t="shared" si="116"/>
        <v>6.5789473684210522</v>
      </c>
      <c r="V51" s="1">
        <f t="shared" si="116"/>
        <v>6.8421052631578947</v>
      </c>
      <c r="W51" s="1">
        <f t="shared" si="116"/>
        <v>7.1052631578947372</v>
      </c>
      <c r="X51" s="1">
        <f t="shared" si="116"/>
        <v>7.3684210526315788</v>
      </c>
      <c r="Y51" s="1">
        <f t="shared" si="116"/>
        <v>7.6315789473684212</v>
      </c>
      <c r="Z51" s="1">
        <f t="shared" si="116"/>
        <v>7.8947368421052628</v>
      </c>
      <c r="AA51" s="1">
        <f t="shared" si="116"/>
        <v>8.1578947368421044</v>
      </c>
      <c r="AB51" s="1">
        <f t="shared" si="120"/>
        <v>8.4210526315789469</v>
      </c>
      <c r="AC51" s="1">
        <f t="shared" si="120"/>
        <v>8.6842105263157894</v>
      </c>
      <c r="AD51" s="1">
        <f t="shared" si="120"/>
        <v>8.9473684210526319</v>
      </c>
      <c r="AE51" s="1">
        <f t="shared" si="120"/>
        <v>9.2105263157894743</v>
      </c>
      <c r="AF51" s="1">
        <f t="shared" si="120"/>
        <v>9.473684210526315</v>
      </c>
      <c r="AG51" s="1">
        <f t="shared" si="120"/>
        <v>9.7368421052631575</v>
      </c>
      <c r="AH51" s="1">
        <f t="shared" si="120"/>
        <v>10</v>
      </c>
      <c r="AI51" s="1">
        <f t="shared" si="120"/>
        <v>10.263157894736842</v>
      </c>
      <c r="AJ51" s="1">
        <f t="shared" si="120"/>
        <v>10.526315789473685</v>
      </c>
      <c r="AK51" s="1">
        <f t="shared" si="120"/>
        <v>10.789473684210526</v>
      </c>
      <c r="AL51" s="1">
        <f t="shared" si="120"/>
        <v>11.052631578947368</v>
      </c>
      <c r="AM51" s="1">
        <f t="shared" si="120"/>
        <v>11.315789473684211</v>
      </c>
      <c r="AN51" s="1">
        <f t="shared" si="120"/>
        <v>11.578947368421053</v>
      </c>
      <c r="AO51" s="1">
        <f t="shared" si="120"/>
        <v>11.842105263157896</v>
      </c>
      <c r="AP51" s="1">
        <f t="shared" si="120"/>
        <v>12.105263157894736</v>
      </c>
      <c r="AQ51" s="1">
        <f t="shared" si="120"/>
        <v>12.368421052631579</v>
      </c>
      <c r="AR51" s="1">
        <f t="shared" si="119"/>
        <v>12.631578947368421</v>
      </c>
      <c r="AS51" s="1">
        <f t="shared" si="119"/>
        <v>12.894736842105264</v>
      </c>
      <c r="AT51" s="1">
        <f t="shared" si="119"/>
        <v>13.157894736842104</v>
      </c>
      <c r="AU51" s="1">
        <f t="shared" si="119"/>
        <v>13.421052631578947</v>
      </c>
      <c r="AV51" s="1">
        <f t="shared" si="119"/>
        <v>13.684210526315789</v>
      </c>
      <c r="AW51" s="1">
        <f t="shared" si="119"/>
        <v>13.947368421052632</v>
      </c>
      <c r="AX51" s="1">
        <f t="shared" si="119"/>
        <v>14.210526315789474</v>
      </c>
      <c r="AY51" s="1">
        <f t="shared" si="117"/>
        <v>14.473684210526315</v>
      </c>
      <c r="AZ51" s="1">
        <f t="shared" si="117"/>
        <v>14.736842105263158</v>
      </c>
      <c r="BA51" s="1">
        <f t="shared" si="117"/>
        <v>15</v>
      </c>
      <c r="BB51" s="1">
        <f t="shared" si="117"/>
        <v>15.263157894736842</v>
      </c>
      <c r="BC51" s="1">
        <f t="shared" si="117"/>
        <v>15.526315789473685</v>
      </c>
      <c r="BD51" s="1">
        <f t="shared" si="117"/>
        <v>15.789473684210526</v>
      </c>
      <c r="BE51" s="1">
        <f t="shared" si="117"/>
        <v>16.05263157894737</v>
      </c>
      <c r="BF51" s="1">
        <f t="shared" si="117"/>
        <v>16.315789473684209</v>
      </c>
      <c r="BG51" s="1">
        <f t="shared" si="117"/>
        <v>16.578947368421051</v>
      </c>
      <c r="BH51" s="1">
        <f t="shared" si="117"/>
        <v>16.842105263157894</v>
      </c>
      <c r="BI51" s="1">
        <f t="shared" si="117"/>
        <v>17.105263157894736</v>
      </c>
      <c r="BJ51" s="1">
        <f t="shared" si="117"/>
        <v>17.368421052631579</v>
      </c>
      <c r="BK51" s="1">
        <f t="shared" si="117"/>
        <v>17.631578947368421</v>
      </c>
      <c r="BL51" s="1">
        <f t="shared" si="117"/>
        <v>17.894736842105264</v>
      </c>
      <c r="BM51" s="1">
        <f t="shared" si="117"/>
        <v>18.157894736842106</v>
      </c>
      <c r="BN51" s="1">
        <f t="shared" si="117"/>
        <v>18.421052631578949</v>
      </c>
      <c r="BO51" s="1">
        <f t="shared" si="111"/>
        <v>18.684210526315791</v>
      </c>
      <c r="BP51" s="1">
        <f t="shared" ref="BP51:CE67" si="123">IF($U$3=0,0,($U$2*BP$13)/($C51*$U$3))</f>
        <v>18.94736842105263</v>
      </c>
      <c r="BQ51" s="1">
        <f t="shared" si="123"/>
        <v>19.210526315789473</v>
      </c>
      <c r="BR51" s="1">
        <f t="shared" si="123"/>
        <v>19.473684210526315</v>
      </c>
      <c r="BS51" s="1">
        <f t="shared" si="123"/>
        <v>19.736842105263158</v>
      </c>
      <c r="BT51" s="1">
        <f t="shared" si="123"/>
        <v>20</v>
      </c>
      <c r="BU51" s="1">
        <f t="shared" si="123"/>
        <v>20.263157894736842</v>
      </c>
      <c r="BV51" s="1">
        <f t="shared" si="123"/>
        <v>20.526315789473685</v>
      </c>
      <c r="BW51" s="1">
        <f t="shared" si="123"/>
        <v>20.789473684210527</v>
      </c>
      <c r="BX51" s="1">
        <f t="shared" si="123"/>
        <v>21.05263157894737</v>
      </c>
      <c r="BY51" s="1">
        <f t="shared" si="123"/>
        <v>21.315789473684209</v>
      </c>
      <c r="BZ51" s="1">
        <f t="shared" si="123"/>
        <v>21.578947368421051</v>
      </c>
      <c r="CA51" s="1">
        <f t="shared" si="123"/>
        <v>21.842105263157894</v>
      </c>
      <c r="CB51" s="1">
        <f t="shared" si="123"/>
        <v>22.105263157894736</v>
      </c>
      <c r="CC51" s="1">
        <f t="shared" si="123"/>
        <v>22.368421052631579</v>
      </c>
      <c r="CD51" s="1">
        <f t="shared" si="123"/>
        <v>22.631578947368421</v>
      </c>
      <c r="CE51" s="1">
        <f t="shared" si="123"/>
        <v>22.894736842105264</v>
      </c>
      <c r="CF51" s="1">
        <f t="shared" ref="CF51:CU66" si="124">IF($U$3=0,0,($U$2*CF$13)/($C51*$U$3))</f>
        <v>23.157894736842106</v>
      </c>
      <c r="CG51" s="1">
        <f t="shared" si="124"/>
        <v>23.421052631578949</v>
      </c>
      <c r="CH51" s="1">
        <f t="shared" si="124"/>
        <v>23.684210526315791</v>
      </c>
      <c r="CI51" s="1">
        <f t="shared" si="124"/>
        <v>23.94736842105263</v>
      </c>
      <c r="CJ51" s="1">
        <f t="shared" si="124"/>
        <v>24.210526315789473</v>
      </c>
      <c r="CK51" s="1">
        <f t="shared" si="124"/>
        <v>24.473684210526315</v>
      </c>
      <c r="CL51" s="1">
        <f t="shared" si="124"/>
        <v>24.736842105263158</v>
      </c>
      <c r="CM51" s="1">
        <f t="shared" si="124"/>
        <v>25</v>
      </c>
      <c r="CN51" s="1">
        <f t="shared" si="124"/>
        <v>25.263157894736842</v>
      </c>
      <c r="CO51" s="1">
        <f t="shared" si="124"/>
        <v>25.526315789473685</v>
      </c>
      <c r="CP51" s="1">
        <f t="shared" si="124"/>
        <v>25.789473684210527</v>
      </c>
      <c r="CQ51" s="1">
        <f t="shared" si="124"/>
        <v>26.05263157894737</v>
      </c>
      <c r="CR51" s="1">
        <f t="shared" si="124"/>
        <v>26.315789473684209</v>
      </c>
      <c r="CS51" s="1">
        <f t="shared" si="124"/>
        <v>26.578947368421051</v>
      </c>
      <c r="CT51" s="1">
        <f t="shared" si="124"/>
        <v>26.842105263157894</v>
      </c>
      <c r="CU51" s="1">
        <f t="shared" si="124"/>
        <v>27.105263157894736</v>
      </c>
      <c r="CV51" s="1">
        <f t="shared" si="122"/>
        <v>27.368421052631579</v>
      </c>
      <c r="CW51" s="1">
        <f t="shared" si="122"/>
        <v>27.631578947368421</v>
      </c>
      <c r="CX51" s="1">
        <f t="shared" si="122"/>
        <v>27.894736842105264</v>
      </c>
      <c r="CY51" s="1">
        <f t="shared" si="122"/>
        <v>28.157894736842106</v>
      </c>
      <c r="CZ51" s="1">
        <f t="shared" si="122"/>
        <v>28.421052631578949</v>
      </c>
      <c r="DA51" s="1">
        <f t="shared" si="122"/>
        <v>28.684210526315791</v>
      </c>
      <c r="DB51" s="1">
        <f t="shared" si="122"/>
        <v>28.94736842105263</v>
      </c>
      <c r="DC51" s="1">
        <f t="shared" si="122"/>
        <v>29.210526315789473</v>
      </c>
      <c r="DD51" s="1">
        <f t="shared" si="122"/>
        <v>29.473684210526315</v>
      </c>
      <c r="DE51" s="1">
        <f t="shared" si="122"/>
        <v>29.736842105263158</v>
      </c>
      <c r="DF51" s="1">
        <f t="shared" si="122"/>
        <v>30</v>
      </c>
      <c r="DG51" s="1">
        <f t="shared" si="122"/>
        <v>30.263157894736842</v>
      </c>
      <c r="DH51" s="1">
        <f t="shared" si="122"/>
        <v>30.526315789473685</v>
      </c>
      <c r="DI51" s="1">
        <f t="shared" si="122"/>
        <v>30.789473684210527</v>
      </c>
      <c r="DJ51" s="1">
        <f t="shared" si="121"/>
        <v>31.05263157894737</v>
      </c>
      <c r="DK51" s="1">
        <f t="shared" si="121"/>
        <v>31.315789473684209</v>
      </c>
      <c r="DL51" s="1">
        <f t="shared" si="115"/>
        <v>31.578947368421051</v>
      </c>
      <c r="DM51" s="1">
        <f t="shared" si="113"/>
        <v>31.842105263157894</v>
      </c>
      <c r="DN51" s="1">
        <f t="shared" si="113"/>
        <v>32.10526315789474</v>
      </c>
      <c r="DO51" s="1">
        <f t="shared" si="113"/>
        <v>32.368421052631582</v>
      </c>
      <c r="DP51" s="1">
        <f t="shared" si="113"/>
        <v>32.631578947368418</v>
      </c>
      <c r="DQ51" s="1">
        <f t="shared" si="113"/>
        <v>32.89473684210526</v>
      </c>
      <c r="DR51" s="1">
        <f t="shared" si="113"/>
        <v>33.157894736842103</v>
      </c>
      <c r="DS51" s="1">
        <f t="shared" si="113"/>
        <v>33.421052631578945</v>
      </c>
    </row>
    <row r="52" spans="1:123" x14ac:dyDescent="0.3">
      <c r="A52" s="81"/>
      <c r="B52" s="13" t="str">
        <f t="shared" si="99"/>
        <v>0x27</v>
      </c>
      <c r="C52" s="12">
        <f t="shared" si="101"/>
        <v>39</v>
      </c>
      <c r="D52" s="1">
        <f t="shared" si="118"/>
        <v>2.0512820512820511</v>
      </c>
      <c r="E52" s="1">
        <f t="shared" si="118"/>
        <v>2.3076923076923075</v>
      </c>
      <c r="F52" s="1">
        <f t="shared" si="118"/>
        <v>2.5641025641025643</v>
      </c>
      <c r="G52" s="1">
        <f t="shared" si="118"/>
        <v>2.8205128205128207</v>
      </c>
      <c r="H52" s="1">
        <f t="shared" si="118"/>
        <v>3.0769230769230771</v>
      </c>
      <c r="I52" s="1">
        <f t="shared" si="118"/>
        <v>3.3333333333333335</v>
      </c>
      <c r="J52" s="1">
        <f t="shared" si="118"/>
        <v>3.5897435897435899</v>
      </c>
      <c r="K52" s="1">
        <f t="shared" si="118"/>
        <v>3.8461538461538463</v>
      </c>
      <c r="L52" s="1">
        <f t="shared" si="118"/>
        <v>4.1025641025641022</v>
      </c>
      <c r="M52" s="1">
        <f t="shared" si="118"/>
        <v>4.3589743589743586</v>
      </c>
      <c r="N52" s="1">
        <f t="shared" si="118"/>
        <v>4.615384615384615</v>
      </c>
      <c r="O52" s="1">
        <f t="shared" si="118"/>
        <v>4.8717948717948714</v>
      </c>
      <c r="P52" s="1">
        <f t="shared" si="118"/>
        <v>5.1282051282051286</v>
      </c>
      <c r="Q52" s="1">
        <f t="shared" si="118"/>
        <v>5.384615384615385</v>
      </c>
      <c r="R52" s="1">
        <f t="shared" si="118"/>
        <v>5.6410256410256414</v>
      </c>
      <c r="S52" s="1">
        <f t="shared" si="118"/>
        <v>5.8974358974358978</v>
      </c>
      <c r="T52" s="1">
        <f t="shared" si="116"/>
        <v>6.1538461538461542</v>
      </c>
      <c r="U52" s="1">
        <f t="shared" si="116"/>
        <v>6.4102564102564106</v>
      </c>
      <c r="V52" s="1">
        <f t="shared" si="116"/>
        <v>6.666666666666667</v>
      </c>
      <c r="W52" s="1">
        <f t="shared" si="116"/>
        <v>6.9230769230769234</v>
      </c>
      <c r="X52" s="1">
        <f t="shared" si="116"/>
        <v>7.1794871794871797</v>
      </c>
      <c r="Y52" s="1">
        <f t="shared" si="116"/>
        <v>7.4358974358974361</v>
      </c>
      <c r="Z52" s="1">
        <f t="shared" si="116"/>
        <v>7.6923076923076925</v>
      </c>
      <c r="AA52" s="1">
        <f t="shared" si="116"/>
        <v>7.9487179487179489</v>
      </c>
      <c r="AB52" s="1">
        <f t="shared" si="120"/>
        <v>8.2051282051282044</v>
      </c>
      <c r="AC52" s="1">
        <f t="shared" si="120"/>
        <v>8.4615384615384617</v>
      </c>
      <c r="AD52" s="1">
        <f t="shared" si="120"/>
        <v>8.7179487179487172</v>
      </c>
      <c r="AE52" s="1">
        <f t="shared" si="120"/>
        <v>8.9743589743589745</v>
      </c>
      <c r="AF52" s="1">
        <f t="shared" si="120"/>
        <v>9.2307692307692299</v>
      </c>
      <c r="AG52" s="1">
        <f t="shared" si="120"/>
        <v>9.4871794871794872</v>
      </c>
      <c r="AH52" s="1">
        <f t="shared" si="120"/>
        <v>9.7435897435897427</v>
      </c>
      <c r="AI52" s="1">
        <f t="shared" si="120"/>
        <v>10</v>
      </c>
      <c r="AJ52" s="1">
        <f t="shared" si="120"/>
        <v>10.256410256410257</v>
      </c>
      <c r="AK52" s="1">
        <f t="shared" si="120"/>
        <v>10.512820512820513</v>
      </c>
      <c r="AL52" s="1">
        <f t="shared" si="120"/>
        <v>10.76923076923077</v>
      </c>
      <c r="AM52" s="1">
        <f t="shared" si="120"/>
        <v>11.025641025641026</v>
      </c>
      <c r="AN52" s="1">
        <f t="shared" si="120"/>
        <v>11.282051282051283</v>
      </c>
      <c r="AO52" s="1">
        <f t="shared" si="120"/>
        <v>11.538461538461538</v>
      </c>
      <c r="AP52" s="1">
        <f t="shared" si="120"/>
        <v>11.794871794871796</v>
      </c>
      <c r="AQ52" s="1">
        <f t="shared" si="120"/>
        <v>12.051282051282051</v>
      </c>
      <c r="AR52" s="1">
        <f t="shared" si="119"/>
        <v>12.307692307692308</v>
      </c>
      <c r="AS52" s="1">
        <f t="shared" si="119"/>
        <v>12.564102564102564</v>
      </c>
      <c r="AT52" s="1">
        <f t="shared" si="119"/>
        <v>12.820512820512821</v>
      </c>
      <c r="AU52" s="1">
        <f t="shared" si="119"/>
        <v>13.076923076923077</v>
      </c>
      <c r="AV52" s="1">
        <f t="shared" si="119"/>
        <v>13.333333333333334</v>
      </c>
      <c r="AW52" s="1">
        <f t="shared" si="119"/>
        <v>13.589743589743589</v>
      </c>
      <c r="AX52" s="1">
        <f t="shared" si="119"/>
        <v>13.846153846153847</v>
      </c>
      <c r="AY52" s="1">
        <f t="shared" si="117"/>
        <v>14.102564102564102</v>
      </c>
      <c r="AZ52" s="1">
        <f t="shared" si="117"/>
        <v>14.358974358974359</v>
      </c>
      <c r="BA52" s="1">
        <f t="shared" si="117"/>
        <v>14.615384615384615</v>
      </c>
      <c r="BB52" s="1">
        <f t="shared" si="117"/>
        <v>14.871794871794872</v>
      </c>
      <c r="BC52" s="1">
        <f t="shared" si="117"/>
        <v>15.128205128205128</v>
      </c>
      <c r="BD52" s="1">
        <f t="shared" si="117"/>
        <v>15.384615384615385</v>
      </c>
      <c r="BE52" s="1">
        <f t="shared" si="117"/>
        <v>15.641025641025641</v>
      </c>
      <c r="BF52" s="1">
        <f t="shared" si="117"/>
        <v>15.897435897435898</v>
      </c>
      <c r="BG52" s="1">
        <f t="shared" si="117"/>
        <v>16.153846153846153</v>
      </c>
      <c r="BH52" s="1">
        <f t="shared" si="117"/>
        <v>16.410256410256409</v>
      </c>
      <c r="BI52" s="1">
        <f t="shared" si="117"/>
        <v>16.666666666666668</v>
      </c>
      <c r="BJ52" s="1">
        <f t="shared" si="117"/>
        <v>16.923076923076923</v>
      </c>
      <c r="BK52" s="1">
        <f t="shared" si="117"/>
        <v>17.179487179487179</v>
      </c>
      <c r="BL52" s="1">
        <f t="shared" si="117"/>
        <v>17.435897435897434</v>
      </c>
      <c r="BM52" s="1">
        <f t="shared" si="117"/>
        <v>17.692307692307693</v>
      </c>
      <c r="BN52" s="1">
        <f t="shared" ref="BN52:CC76" si="125">IF($U$3=0,0,($U$2*BN$13)/($C52*$U$3))</f>
        <v>17.948717948717949</v>
      </c>
      <c r="BO52" s="1">
        <f t="shared" si="125"/>
        <v>18.205128205128204</v>
      </c>
      <c r="BP52" s="1">
        <f t="shared" si="125"/>
        <v>18.46153846153846</v>
      </c>
      <c r="BQ52" s="1">
        <f t="shared" si="123"/>
        <v>18.717948717948719</v>
      </c>
      <c r="BR52" s="1">
        <f t="shared" si="123"/>
        <v>18.974358974358974</v>
      </c>
      <c r="BS52" s="1">
        <f t="shared" si="123"/>
        <v>19.23076923076923</v>
      </c>
      <c r="BT52" s="1">
        <f t="shared" si="123"/>
        <v>19.487179487179485</v>
      </c>
      <c r="BU52" s="1">
        <f t="shared" si="123"/>
        <v>19.743589743589745</v>
      </c>
      <c r="BV52" s="1">
        <f t="shared" si="123"/>
        <v>20</v>
      </c>
      <c r="BW52" s="1">
        <f t="shared" si="123"/>
        <v>20.256410256410255</v>
      </c>
      <c r="BX52" s="1">
        <f t="shared" si="123"/>
        <v>20.512820512820515</v>
      </c>
      <c r="BY52" s="1">
        <f t="shared" si="123"/>
        <v>20.76923076923077</v>
      </c>
      <c r="BZ52" s="1">
        <f t="shared" si="123"/>
        <v>21.025641025641026</v>
      </c>
      <c r="CA52" s="1">
        <f t="shared" si="123"/>
        <v>21.282051282051281</v>
      </c>
      <c r="CB52" s="1">
        <f t="shared" si="123"/>
        <v>21.53846153846154</v>
      </c>
      <c r="CC52" s="1">
        <f t="shared" si="123"/>
        <v>21.794871794871796</v>
      </c>
      <c r="CD52" s="1">
        <f t="shared" si="123"/>
        <v>22.051282051282051</v>
      </c>
      <c r="CE52" s="1">
        <f t="shared" si="123"/>
        <v>22.307692307692307</v>
      </c>
      <c r="CF52" s="1">
        <f t="shared" si="124"/>
        <v>22.564102564102566</v>
      </c>
      <c r="CG52" s="1">
        <f t="shared" si="124"/>
        <v>22.820512820512821</v>
      </c>
      <c r="CH52" s="1">
        <f t="shared" si="124"/>
        <v>23.076923076923077</v>
      </c>
      <c r="CI52" s="1">
        <f t="shared" si="124"/>
        <v>23.333333333333332</v>
      </c>
      <c r="CJ52" s="1">
        <f t="shared" si="124"/>
        <v>23.589743589743591</v>
      </c>
      <c r="CK52" s="1">
        <f t="shared" si="124"/>
        <v>23.846153846153847</v>
      </c>
      <c r="CL52" s="1">
        <f t="shared" si="124"/>
        <v>24.102564102564102</v>
      </c>
      <c r="CM52" s="1">
        <f t="shared" si="124"/>
        <v>24.358974358974358</v>
      </c>
      <c r="CN52" s="1">
        <f t="shared" si="124"/>
        <v>24.615384615384617</v>
      </c>
      <c r="CO52" s="1">
        <f t="shared" si="124"/>
        <v>24.871794871794872</v>
      </c>
      <c r="CP52" s="1">
        <f t="shared" si="124"/>
        <v>25.128205128205128</v>
      </c>
      <c r="CQ52" s="1">
        <f t="shared" si="124"/>
        <v>25.384615384615383</v>
      </c>
      <c r="CR52" s="1">
        <f t="shared" si="124"/>
        <v>25.641025641025642</v>
      </c>
      <c r="CS52" s="1">
        <f t="shared" si="124"/>
        <v>25.897435897435898</v>
      </c>
      <c r="CT52" s="1">
        <f t="shared" si="124"/>
        <v>26.153846153846153</v>
      </c>
      <c r="CU52" s="1">
        <f t="shared" si="124"/>
        <v>26.410256410256409</v>
      </c>
      <c r="CV52" s="1">
        <f t="shared" si="122"/>
        <v>26.666666666666668</v>
      </c>
      <c r="CW52" s="1">
        <f t="shared" si="122"/>
        <v>26.923076923076923</v>
      </c>
      <c r="CX52" s="1">
        <f t="shared" si="122"/>
        <v>27.179487179487179</v>
      </c>
      <c r="CY52" s="1">
        <f t="shared" si="122"/>
        <v>27.435897435897434</v>
      </c>
      <c r="CZ52" s="1">
        <f t="shared" si="122"/>
        <v>27.692307692307693</v>
      </c>
      <c r="DA52" s="1">
        <f t="shared" si="122"/>
        <v>27.948717948717949</v>
      </c>
      <c r="DB52" s="1">
        <f t="shared" si="122"/>
        <v>28.205128205128204</v>
      </c>
      <c r="DC52" s="1">
        <f t="shared" si="122"/>
        <v>28.46153846153846</v>
      </c>
      <c r="DD52" s="1">
        <f t="shared" si="122"/>
        <v>28.717948717948719</v>
      </c>
      <c r="DE52" s="1">
        <f t="shared" si="122"/>
        <v>28.974358974358974</v>
      </c>
      <c r="DF52" s="1">
        <f t="shared" si="122"/>
        <v>29.23076923076923</v>
      </c>
      <c r="DG52" s="1">
        <f t="shared" si="122"/>
        <v>29.487179487179485</v>
      </c>
      <c r="DH52" s="1">
        <f t="shared" si="122"/>
        <v>29.743589743589745</v>
      </c>
      <c r="DI52" s="1">
        <f t="shared" si="122"/>
        <v>30</v>
      </c>
      <c r="DJ52" s="1">
        <f t="shared" si="121"/>
        <v>30.256410256410255</v>
      </c>
      <c r="DK52" s="1">
        <f t="shared" si="121"/>
        <v>30.512820512820515</v>
      </c>
      <c r="DL52" s="1">
        <f t="shared" si="115"/>
        <v>30.76923076923077</v>
      </c>
      <c r="DM52" s="1">
        <f t="shared" si="113"/>
        <v>31.025641025641026</v>
      </c>
      <c r="DN52" s="1">
        <f t="shared" si="113"/>
        <v>31.282051282051281</v>
      </c>
      <c r="DO52" s="1">
        <f t="shared" si="113"/>
        <v>31.53846153846154</v>
      </c>
      <c r="DP52" s="1">
        <f t="shared" si="113"/>
        <v>31.794871794871796</v>
      </c>
      <c r="DQ52" s="1">
        <f t="shared" si="113"/>
        <v>32.051282051282051</v>
      </c>
      <c r="DR52" s="1">
        <f t="shared" si="113"/>
        <v>32.307692307692307</v>
      </c>
      <c r="DS52" s="1">
        <f t="shared" si="113"/>
        <v>32.564102564102562</v>
      </c>
    </row>
    <row r="53" spans="1:123" x14ac:dyDescent="0.3">
      <c r="A53" s="81"/>
      <c r="B53" s="13" t="str">
        <f t="shared" si="99"/>
        <v>0x28</v>
      </c>
      <c r="C53" s="12">
        <f t="shared" si="101"/>
        <v>40</v>
      </c>
      <c r="D53" s="1">
        <f t="shared" si="118"/>
        <v>2</v>
      </c>
      <c r="E53" s="1">
        <f t="shared" si="118"/>
        <v>2.25</v>
      </c>
      <c r="F53" s="1">
        <f t="shared" si="118"/>
        <v>2.5</v>
      </c>
      <c r="G53" s="1">
        <f t="shared" si="118"/>
        <v>2.75</v>
      </c>
      <c r="H53" s="1">
        <f t="shared" si="118"/>
        <v>3</v>
      </c>
      <c r="I53" s="1">
        <f t="shared" si="118"/>
        <v>3.25</v>
      </c>
      <c r="J53" s="1">
        <f t="shared" si="118"/>
        <v>3.5</v>
      </c>
      <c r="K53" s="1">
        <f t="shared" si="118"/>
        <v>3.75</v>
      </c>
      <c r="L53" s="1">
        <f t="shared" si="118"/>
        <v>4</v>
      </c>
      <c r="M53" s="1">
        <f t="shared" si="118"/>
        <v>4.25</v>
      </c>
      <c r="N53" s="1">
        <f t="shared" si="118"/>
        <v>4.5</v>
      </c>
      <c r="O53" s="1">
        <f t="shared" si="118"/>
        <v>4.75</v>
      </c>
      <c r="P53" s="1">
        <f t="shared" si="118"/>
        <v>5</v>
      </c>
      <c r="Q53" s="1">
        <f t="shared" si="118"/>
        <v>5.25</v>
      </c>
      <c r="R53" s="1">
        <f t="shared" si="118"/>
        <v>5.5</v>
      </c>
      <c r="S53" s="1">
        <f t="shared" ref="S53:AH68" si="126">IF($U$3=0,0,($U$2*S$13)/($C53*$U$3))</f>
        <v>5.75</v>
      </c>
      <c r="T53" s="1">
        <f t="shared" si="126"/>
        <v>6</v>
      </c>
      <c r="U53" s="1">
        <f t="shared" si="126"/>
        <v>6.25</v>
      </c>
      <c r="V53" s="1">
        <f t="shared" si="126"/>
        <v>6.5</v>
      </c>
      <c r="W53" s="1">
        <f t="shared" si="126"/>
        <v>6.75</v>
      </c>
      <c r="X53" s="1">
        <f t="shared" si="126"/>
        <v>7</v>
      </c>
      <c r="Y53" s="1">
        <f t="shared" si="126"/>
        <v>7.25</v>
      </c>
      <c r="Z53" s="1">
        <f t="shared" si="126"/>
        <v>7.5</v>
      </c>
      <c r="AA53" s="1">
        <f t="shared" si="126"/>
        <v>7.75</v>
      </c>
      <c r="AB53" s="1">
        <f t="shared" si="126"/>
        <v>8</v>
      </c>
      <c r="AC53" s="1">
        <f t="shared" si="126"/>
        <v>8.25</v>
      </c>
      <c r="AD53" s="1">
        <f t="shared" si="126"/>
        <v>8.5</v>
      </c>
      <c r="AE53" s="1">
        <f t="shared" si="126"/>
        <v>8.75</v>
      </c>
      <c r="AF53" s="1">
        <f t="shared" si="126"/>
        <v>9</v>
      </c>
      <c r="AG53" s="1">
        <f t="shared" si="126"/>
        <v>9.25</v>
      </c>
      <c r="AH53" s="1">
        <f t="shared" si="126"/>
        <v>9.5</v>
      </c>
      <c r="AI53" s="1">
        <f t="shared" si="120"/>
        <v>9.75</v>
      </c>
      <c r="AJ53" s="1">
        <f t="shared" si="120"/>
        <v>10</v>
      </c>
      <c r="AK53" s="1">
        <f t="shared" si="120"/>
        <v>10.25</v>
      </c>
      <c r="AL53" s="1">
        <f t="shared" si="120"/>
        <v>10.5</v>
      </c>
      <c r="AM53" s="1">
        <f t="shared" si="120"/>
        <v>10.75</v>
      </c>
      <c r="AN53" s="1">
        <f t="shared" si="120"/>
        <v>11</v>
      </c>
      <c r="AO53" s="1">
        <f t="shared" si="120"/>
        <v>11.25</v>
      </c>
      <c r="AP53" s="1">
        <f t="shared" si="120"/>
        <v>11.5</v>
      </c>
      <c r="AQ53" s="1">
        <f t="shared" si="120"/>
        <v>11.75</v>
      </c>
      <c r="AR53" s="1">
        <f t="shared" si="119"/>
        <v>12</v>
      </c>
      <c r="AS53" s="1">
        <f t="shared" si="119"/>
        <v>12.25</v>
      </c>
      <c r="AT53" s="1">
        <f t="shared" si="119"/>
        <v>12.5</v>
      </c>
      <c r="AU53" s="1">
        <f t="shared" si="119"/>
        <v>12.75</v>
      </c>
      <c r="AV53" s="1">
        <f t="shared" si="119"/>
        <v>13</v>
      </c>
      <c r="AW53" s="1">
        <f t="shared" si="119"/>
        <v>13.25</v>
      </c>
      <c r="AX53" s="1">
        <f t="shared" si="119"/>
        <v>13.5</v>
      </c>
      <c r="AY53" s="1">
        <f t="shared" ref="AY53:BN76" si="127">IF($U$3=0,0,($U$2*AY$13)/($C53*$U$3))</f>
        <v>13.75</v>
      </c>
      <c r="AZ53" s="1">
        <f t="shared" si="127"/>
        <v>14</v>
      </c>
      <c r="BA53" s="1">
        <f t="shared" si="127"/>
        <v>14.25</v>
      </c>
      <c r="BB53" s="1">
        <f t="shared" si="127"/>
        <v>14.5</v>
      </c>
      <c r="BC53" s="1">
        <f t="shared" si="127"/>
        <v>14.75</v>
      </c>
      <c r="BD53" s="1">
        <f t="shared" si="127"/>
        <v>15</v>
      </c>
      <c r="BE53" s="1">
        <f t="shared" si="127"/>
        <v>15.25</v>
      </c>
      <c r="BF53" s="1">
        <f t="shared" si="127"/>
        <v>15.5</v>
      </c>
      <c r="BG53" s="1">
        <f t="shared" si="127"/>
        <v>15.75</v>
      </c>
      <c r="BH53" s="1">
        <f t="shared" si="127"/>
        <v>16</v>
      </c>
      <c r="BI53" s="1">
        <f t="shared" si="127"/>
        <v>16.25</v>
      </c>
      <c r="BJ53" s="1">
        <f t="shared" si="127"/>
        <v>16.5</v>
      </c>
      <c r="BK53" s="1">
        <f t="shared" si="127"/>
        <v>16.75</v>
      </c>
      <c r="BL53" s="1">
        <f t="shared" si="127"/>
        <v>17</v>
      </c>
      <c r="BM53" s="1">
        <f t="shared" si="127"/>
        <v>17.25</v>
      </c>
      <c r="BN53" s="1">
        <f t="shared" si="127"/>
        <v>17.5</v>
      </c>
      <c r="BO53" s="1">
        <f t="shared" si="125"/>
        <v>17.75</v>
      </c>
      <c r="BP53" s="1">
        <f t="shared" si="125"/>
        <v>18</v>
      </c>
      <c r="BQ53" s="1">
        <f t="shared" si="123"/>
        <v>18.25</v>
      </c>
      <c r="BR53" s="1">
        <f t="shared" si="123"/>
        <v>18.5</v>
      </c>
      <c r="BS53" s="1">
        <f t="shared" si="123"/>
        <v>18.75</v>
      </c>
      <c r="BT53" s="1">
        <f t="shared" si="123"/>
        <v>19</v>
      </c>
      <c r="BU53" s="1">
        <f t="shared" si="123"/>
        <v>19.25</v>
      </c>
      <c r="BV53" s="1">
        <f t="shared" si="123"/>
        <v>19.5</v>
      </c>
      <c r="BW53" s="1">
        <f t="shared" si="123"/>
        <v>19.75</v>
      </c>
      <c r="BX53" s="1">
        <f t="shared" si="123"/>
        <v>20</v>
      </c>
      <c r="BY53" s="1">
        <f t="shared" si="123"/>
        <v>20.25</v>
      </c>
      <c r="BZ53" s="1">
        <f t="shared" si="123"/>
        <v>20.5</v>
      </c>
      <c r="CA53" s="1">
        <f t="shared" si="123"/>
        <v>20.75</v>
      </c>
      <c r="CB53" s="1">
        <f t="shared" si="123"/>
        <v>21</v>
      </c>
      <c r="CC53" s="1">
        <f t="shared" si="123"/>
        <v>21.25</v>
      </c>
      <c r="CD53" s="1">
        <f t="shared" si="123"/>
        <v>21.5</v>
      </c>
      <c r="CE53" s="1">
        <f t="shared" si="123"/>
        <v>21.75</v>
      </c>
      <c r="CF53" s="1">
        <f t="shared" si="124"/>
        <v>22</v>
      </c>
      <c r="CG53" s="1">
        <f t="shared" si="124"/>
        <v>22.25</v>
      </c>
      <c r="CH53" s="1">
        <f t="shared" si="124"/>
        <v>22.5</v>
      </c>
      <c r="CI53" s="1">
        <f t="shared" si="124"/>
        <v>22.75</v>
      </c>
      <c r="CJ53" s="1">
        <f t="shared" si="124"/>
        <v>23</v>
      </c>
      <c r="CK53" s="1">
        <f t="shared" si="124"/>
        <v>23.25</v>
      </c>
      <c r="CL53" s="1">
        <f t="shared" si="124"/>
        <v>23.5</v>
      </c>
      <c r="CM53" s="1">
        <f t="shared" si="124"/>
        <v>23.75</v>
      </c>
      <c r="CN53" s="1">
        <f t="shared" si="124"/>
        <v>24</v>
      </c>
      <c r="CO53" s="1">
        <f t="shared" si="124"/>
        <v>24.25</v>
      </c>
      <c r="CP53" s="1">
        <f t="shared" si="124"/>
        <v>24.5</v>
      </c>
      <c r="CQ53" s="1">
        <f t="shared" si="124"/>
        <v>24.75</v>
      </c>
      <c r="CR53" s="1">
        <f t="shared" si="124"/>
        <v>25</v>
      </c>
      <c r="CS53" s="1">
        <f t="shared" si="124"/>
        <v>25.25</v>
      </c>
      <c r="CT53" s="1">
        <f t="shared" si="124"/>
        <v>25.5</v>
      </c>
      <c r="CU53" s="1">
        <f t="shared" si="124"/>
        <v>25.75</v>
      </c>
      <c r="CV53" s="1">
        <f t="shared" si="122"/>
        <v>26</v>
      </c>
      <c r="CW53" s="1">
        <f t="shared" si="122"/>
        <v>26.25</v>
      </c>
      <c r="CX53" s="1">
        <f t="shared" si="122"/>
        <v>26.5</v>
      </c>
      <c r="CY53" s="1">
        <f t="shared" si="122"/>
        <v>26.75</v>
      </c>
      <c r="CZ53" s="1">
        <f t="shared" si="122"/>
        <v>27</v>
      </c>
      <c r="DA53" s="1">
        <f t="shared" si="122"/>
        <v>27.25</v>
      </c>
      <c r="DB53" s="1">
        <f t="shared" si="122"/>
        <v>27.5</v>
      </c>
      <c r="DC53" s="1">
        <f t="shared" si="122"/>
        <v>27.75</v>
      </c>
      <c r="DD53" s="1">
        <f t="shared" si="122"/>
        <v>28</v>
      </c>
      <c r="DE53" s="1">
        <f t="shared" si="122"/>
        <v>28.25</v>
      </c>
      <c r="DF53" s="1">
        <f t="shared" si="122"/>
        <v>28.5</v>
      </c>
      <c r="DG53" s="1">
        <f t="shared" si="122"/>
        <v>28.75</v>
      </c>
      <c r="DH53" s="1">
        <f t="shared" si="122"/>
        <v>29</v>
      </c>
      <c r="DI53" s="1">
        <f t="shared" si="122"/>
        <v>29.25</v>
      </c>
      <c r="DJ53" s="1">
        <f t="shared" si="121"/>
        <v>29.5</v>
      </c>
      <c r="DK53" s="1">
        <f t="shared" si="121"/>
        <v>29.75</v>
      </c>
      <c r="DL53" s="1">
        <f t="shared" si="115"/>
        <v>30</v>
      </c>
      <c r="DM53" s="1">
        <f t="shared" si="113"/>
        <v>30.25</v>
      </c>
      <c r="DN53" s="1">
        <f t="shared" si="113"/>
        <v>30.5</v>
      </c>
      <c r="DO53" s="1">
        <f t="shared" si="113"/>
        <v>30.75</v>
      </c>
      <c r="DP53" s="1">
        <f t="shared" si="113"/>
        <v>31</v>
      </c>
      <c r="DQ53" s="1">
        <f t="shared" si="113"/>
        <v>31.25</v>
      </c>
      <c r="DR53" s="1">
        <f t="shared" si="113"/>
        <v>31.5</v>
      </c>
      <c r="DS53" s="1">
        <f t="shared" si="113"/>
        <v>31.75</v>
      </c>
    </row>
    <row r="54" spans="1:123" x14ac:dyDescent="0.3">
      <c r="A54" s="81"/>
      <c r="B54" s="13" t="str">
        <f t="shared" si="99"/>
        <v>0x29</v>
      </c>
      <c r="C54" s="12">
        <f t="shared" si="101"/>
        <v>41</v>
      </c>
      <c r="D54" s="1">
        <f t="shared" ref="D54:S69" si="128">IF($U$3=0,0,($U$2*D$13)/($C54*$U$3))</f>
        <v>1.9512195121951219</v>
      </c>
      <c r="E54" s="1">
        <f t="shared" si="128"/>
        <v>2.1951219512195124</v>
      </c>
      <c r="F54" s="1">
        <f t="shared" si="128"/>
        <v>2.4390243902439024</v>
      </c>
      <c r="G54" s="1">
        <f t="shared" si="128"/>
        <v>2.6829268292682928</v>
      </c>
      <c r="H54" s="1">
        <f t="shared" si="128"/>
        <v>2.9268292682926829</v>
      </c>
      <c r="I54" s="1">
        <f t="shared" si="128"/>
        <v>3.1707317073170733</v>
      </c>
      <c r="J54" s="1">
        <f t="shared" si="128"/>
        <v>3.4146341463414633</v>
      </c>
      <c r="K54" s="1">
        <f t="shared" si="128"/>
        <v>3.6585365853658538</v>
      </c>
      <c r="L54" s="1">
        <f t="shared" si="128"/>
        <v>3.9024390243902438</v>
      </c>
      <c r="M54" s="1">
        <f t="shared" si="128"/>
        <v>4.1463414634146343</v>
      </c>
      <c r="N54" s="1">
        <f t="shared" si="128"/>
        <v>4.3902439024390247</v>
      </c>
      <c r="O54" s="1">
        <f t="shared" si="128"/>
        <v>4.6341463414634143</v>
      </c>
      <c r="P54" s="1">
        <f t="shared" si="128"/>
        <v>4.8780487804878048</v>
      </c>
      <c r="Q54" s="1">
        <f t="shared" si="128"/>
        <v>5.1219512195121952</v>
      </c>
      <c r="R54" s="1">
        <f t="shared" si="128"/>
        <v>5.3658536585365857</v>
      </c>
      <c r="S54" s="1">
        <f t="shared" si="128"/>
        <v>5.6097560975609753</v>
      </c>
      <c r="T54" s="1">
        <f t="shared" si="126"/>
        <v>5.8536585365853657</v>
      </c>
      <c r="U54" s="1">
        <f t="shared" si="126"/>
        <v>6.0975609756097562</v>
      </c>
      <c r="V54" s="1">
        <f t="shared" si="126"/>
        <v>6.3414634146341466</v>
      </c>
      <c r="W54" s="1">
        <f t="shared" si="126"/>
        <v>6.5853658536585362</v>
      </c>
      <c r="X54" s="1">
        <f t="shared" si="126"/>
        <v>6.8292682926829267</v>
      </c>
      <c r="Y54" s="1">
        <f t="shared" si="126"/>
        <v>7.0731707317073171</v>
      </c>
      <c r="Z54" s="1">
        <f t="shared" si="126"/>
        <v>7.3170731707317076</v>
      </c>
      <c r="AA54" s="1">
        <f t="shared" si="126"/>
        <v>7.5609756097560972</v>
      </c>
      <c r="AB54" s="1">
        <f t="shared" si="126"/>
        <v>7.8048780487804876</v>
      </c>
      <c r="AC54" s="1">
        <f t="shared" si="126"/>
        <v>8.0487804878048781</v>
      </c>
      <c r="AD54" s="1">
        <f t="shared" si="126"/>
        <v>8.2926829268292686</v>
      </c>
      <c r="AE54" s="1">
        <f t="shared" si="126"/>
        <v>8.536585365853659</v>
      </c>
      <c r="AF54" s="1">
        <f t="shared" si="126"/>
        <v>8.7804878048780495</v>
      </c>
      <c r="AG54" s="1">
        <f t="shared" si="126"/>
        <v>9.0243902439024382</v>
      </c>
      <c r="AH54" s="1">
        <f t="shared" si="126"/>
        <v>9.2682926829268286</v>
      </c>
      <c r="AI54" s="1">
        <f t="shared" si="120"/>
        <v>9.5121951219512191</v>
      </c>
      <c r="AJ54" s="1">
        <f t="shared" si="120"/>
        <v>9.7560975609756095</v>
      </c>
      <c r="AK54" s="1">
        <f t="shared" si="120"/>
        <v>10</v>
      </c>
      <c r="AL54" s="1">
        <f t="shared" si="120"/>
        <v>10.24390243902439</v>
      </c>
      <c r="AM54" s="1">
        <f t="shared" si="120"/>
        <v>10.487804878048781</v>
      </c>
      <c r="AN54" s="1">
        <f t="shared" si="120"/>
        <v>10.731707317073171</v>
      </c>
      <c r="AO54" s="1">
        <f t="shared" si="120"/>
        <v>10.975609756097562</v>
      </c>
      <c r="AP54" s="1">
        <f t="shared" si="120"/>
        <v>11.219512195121951</v>
      </c>
      <c r="AQ54" s="1">
        <f t="shared" si="120"/>
        <v>11.463414634146341</v>
      </c>
      <c r="AR54" s="1">
        <f t="shared" si="119"/>
        <v>11.707317073170731</v>
      </c>
      <c r="AS54" s="1">
        <f t="shared" si="119"/>
        <v>11.951219512195122</v>
      </c>
      <c r="AT54" s="1">
        <f t="shared" si="119"/>
        <v>12.195121951219512</v>
      </c>
      <c r="AU54" s="1">
        <f t="shared" si="119"/>
        <v>12.439024390243903</v>
      </c>
      <c r="AV54" s="1">
        <f t="shared" si="119"/>
        <v>12.682926829268293</v>
      </c>
      <c r="AW54" s="1">
        <f t="shared" si="119"/>
        <v>12.926829268292684</v>
      </c>
      <c r="AX54" s="1">
        <f t="shared" si="119"/>
        <v>13.170731707317072</v>
      </c>
      <c r="AY54" s="1">
        <f t="shared" si="127"/>
        <v>13.414634146341463</v>
      </c>
      <c r="AZ54" s="1">
        <f t="shared" si="127"/>
        <v>13.658536585365853</v>
      </c>
      <c r="BA54" s="1">
        <f t="shared" si="127"/>
        <v>13.902439024390244</v>
      </c>
      <c r="BB54" s="1">
        <f t="shared" si="127"/>
        <v>14.146341463414634</v>
      </c>
      <c r="BC54" s="1">
        <f t="shared" si="127"/>
        <v>14.390243902439025</v>
      </c>
      <c r="BD54" s="1">
        <f t="shared" si="127"/>
        <v>14.634146341463415</v>
      </c>
      <c r="BE54" s="1">
        <f t="shared" si="127"/>
        <v>14.878048780487806</v>
      </c>
      <c r="BF54" s="1">
        <f t="shared" si="127"/>
        <v>15.121951219512194</v>
      </c>
      <c r="BG54" s="1">
        <f t="shared" si="127"/>
        <v>15.365853658536585</v>
      </c>
      <c r="BH54" s="1">
        <f t="shared" si="127"/>
        <v>15.609756097560975</v>
      </c>
      <c r="BI54" s="1">
        <f t="shared" si="127"/>
        <v>15.853658536585366</v>
      </c>
      <c r="BJ54" s="1">
        <f t="shared" si="127"/>
        <v>16.097560975609756</v>
      </c>
      <c r="BK54" s="1">
        <f t="shared" si="127"/>
        <v>16.341463414634145</v>
      </c>
      <c r="BL54" s="1">
        <f t="shared" si="127"/>
        <v>16.585365853658537</v>
      </c>
      <c r="BM54" s="1">
        <f t="shared" si="127"/>
        <v>16.829268292682926</v>
      </c>
      <c r="BN54" s="1">
        <f t="shared" si="127"/>
        <v>17.073170731707318</v>
      </c>
      <c r="BO54" s="1">
        <f t="shared" si="125"/>
        <v>17.317073170731707</v>
      </c>
      <c r="BP54" s="1">
        <f t="shared" si="125"/>
        <v>17.560975609756099</v>
      </c>
      <c r="BQ54" s="1">
        <f t="shared" si="123"/>
        <v>17.804878048780488</v>
      </c>
      <c r="BR54" s="1">
        <f t="shared" si="123"/>
        <v>18.048780487804876</v>
      </c>
      <c r="BS54" s="1">
        <f t="shared" si="123"/>
        <v>18.292682926829269</v>
      </c>
      <c r="BT54" s="1">
        <f t="shared" si="123"/>
        <v>18.536585365853657</v>
      </c>
      <c r="BU54" s="1">
        <f t="shared" si="123"/>
        <v>18.780487804878049</v>
      </c>
      <c r="BV54" s="1">
        <f t="shared" si="123"/>
        <v>19.024390243902438</v>
      </c>
      <c r="BW54" s="1">
        <f t="shared" si="123"/>
        <v>19.26829268292683</v>
      </c>
      <c r="BX54" s="1">
        <f t="shared" si="123"/>
        <v>19.512195121951219</v>
      </c>
      <c r="BY54" s="1">
        <f t="shared" si="123"/>
        <v>19.756097560975611</v>
      </c>
      <c r="BZ54" s="1">
        <f t="shared" si="123"/>
        <v>20</v>
      </c>
      <c r="CA54" s="1">
        <f t="shared" si="123"/>
        <v>20.243902439024389</v>
      </c>
      <c r="CB54" s="1">
        <f t="shared" si="123"/>
        <v>20.487804878048781</v>
      </c>
      <c r="CC54" s="1">
        <f t="shared" si="123"/>
        <v>20.73170731707317</v>
      </c>
      <c r="CD54" s="1">
        <f t="shared" si="123"/>
        <v>20.975609756097562</v>
      </c>
      <c r="CE54" s="1">
        <f t="shared" si="123"/>
        <v>21.219512195121951</v>
      </c>
      <c r="CF54" s="1">
        <f t="shared" si="124"/>
        <v>21.463414634146343</v>
      </c>
      <c r="CG54" s="1">
        <f t="shared" si="124"/>
        <v>21.707317073170731</v>
      </c>
      <c r="CH54" s="1">
        <f t="shared" si="124"/>
        <v>21.951219512195124</v>
      </c>
      <c r="CI54" s="1">
        <f t="shared" si="124"/>
        <v>22.195121951219512</v>
      </c>
      <c r="CJ54" s="1">
        <f t="shared" si="124"/>
        <v>22.439024390243901</v>
      </c>
      <c r="CK54" s="1">
        <f t="shared" si="124"/>
        <v>22.682926829268293</v>
      </c>
      <c r="CL54" s="1">
        <f t="shared" si="124"/>
        <v>22.926829268292682</v>
      </c>
      <c r="CM54" s="1">
        <f t="shared" si="124"/>
        <v>23.170731707317074</v>
      </c>
      <c r="CN54" s="1">
        <f t="shared" si="124"/>
        <v>23.414634146341463</v>
      </c>
      <c r="CO54" s="1">
        <f t="shared" si="124"/>
        <v>23.658536585365855</v>
      </c>
      <c r="CP54" s="1">
        <f t="shared" si="124"/>
        <v>23.902439024390244</v>
      </c>
      <c r="CQ54" s="1">
        <f t="shared" si="124"/>
        <v>24.146341463414632</v>
      </c>
      <c r="CR54" s="1">
        <f t="shared" si="124"/>
        <v>24.390243902439025</v>
      </c>
      <c r="CS54" s="1">
        <f t="shared" si="124"/>
        <v>24.634146341463413</v>
      </c>
      <c r="CT54" s="1">
        <f t="shared" si="124"/>
        <v>24.878048780487806</v>
      </c>
      <c r="CU54" s="1">
        <f t="shared" si="124"/>
        <v>25.121951219512194</v>
      </c>
      <c r="CV54" s="1">
        <f t="shared" si="122"/>
        <v>25.365853658536587</v>
      </c>
      <c r="CW54" s="1">
        <f t="shared" si="122"/>
        <v>25.609756097560975</v>
      </c>
      <c r="CX54" s="1">
        <f t="shared" si="122"/>
        <v>25.853658536585368</v>
      </c>
      <c r="CY54" s="1">
        <f t="shared" si="122"/>
        <v>26.097560975609756</v>
      </c>
      <c r="CZ54" s="1">
        <f t="shared" si="122"/>
        <v>26.341463414634145</v>
      </c>
      <c r="DA54" s="1">
        <f t="shared" si="122"/>
        <v>26.585365853658537</v>
      </c>
      <c r="DB54" s="1">
        <f t="shared" si="122"/>
        <v>26.829268292682926</v>
      </c>
      <c r="DC54" s="1">
        <f t="shared" si="122"/>
        <v>27.073170731707318</v>
      </c>
      <c r="DD54" s="1">
        <f t="shared" si="122"/>
        <v>27.317073170731707</v>
      </c>
      <c r="DE54" s="1">
        <f t="shared" si="122"/>
        <v>27.560975609756099</v>
      </c>
      <c r="DF54" s="1">
        <f t="shared" si="122"/>
        <v>27.804878048780488</v>
      </c>
      <c r="DG54" s="1">
        <f t="shared" si="122"/>
        <v>28.048780487804876</v>
      </c>
      <c r="DH54" s="1">
        <f t="shared" si="122"/>
        <v>28.292682926829269</v>
      </c>
      <c r="DI54" s="1">
        <f t="shared" si="122"/>
        <v>28.536585365853657</v>
      </c>
      <c r="DJ54" s="1">
        <f t="shared" si="121"/>
        <v>28.780487804878049</v>
      </c>
      <c r="DK54" s="1">
        <f t="shared" si="121"/>
        <v>29.024390243902438</v>
      </c>
      <c r="DL54" s="1">
        <f t="shared" si="115"/>
        <v>29.26829268292683</v>
      </c>
      <c r="DM54" s="1">
        <f t="shared" si="113"/>
        <v>29.512195121951219</v>
      </c>
      <c r="DN54" s="1">
        <f t="shared" si="113"/>
        <v>29.756097560975611</v>
      </c>
      <c r="DO54" s="1">
        <f t="shared" si="113"/>
        <v>30</v>
      </c>
      <c r="DP54" s="1">
        <f t="shared" si="113"/>
        <v>30.243902439024389</v>
      </c>
      <c r="DQ54" s="1">
        <f t="shared" si="113"/>
        <v>30.487804878048781</v>
      </c>
      <c r="DR54" s="1">
        <f t="shared" si="113"/>
        <v>30.73170731707317</v>
      </c>
      <c r="DS54" s="1">
        <f t="shared" si="113"/>
        <v>30.975609756097562</v>
      </c>
    </row>
    <row r="55" spans="1:123" x14ac:dyDescent="0.3">
      <c r="A55" s="81"/>
      <c r="B55" s="13" t="str">
        <f t="shared" si="99"/>
        <v>0x2A</v>
      </c>
      <c r="C55" s="12">
        <f t="shared" si="101"/>
        <v>42</v>
      </c>
      <c r="D55" s="1">
        <f t="shared" si="128"/>
        <v>1.9047619047619047</v>
      </c>
      <c r="E55" s="1">
        <f t="shared" si="128"/>
        <v>2.1428571428571428</v>
      </c>
      <c r="F55" s="1">
        <f t="shared" si="128"/>
        <v>2.3809523809523809</v>
      </c>
      <c r="G55" s="1">
        <f t="shared" si="128"/>
        <v>2.6190476190476191</v>
      </c>
      <c r="H55" s="1">
        <f t="shared" si="128"/>
        <v>2.8571428571428572</v>
      </c>
      <c r="I55" s="1">
        <f t="shared" si="128"/>
        <v>3.0952380952380953</v>
      </c>
      <c r="J55" s="1">
        <f t="shared" si="128"/>
        <v>3.3333333333333335</v>
      </c>
      <c r="K55" s="1">
        <f t="shared" si="128"/>
        <v>3.5714285714285716</v>
      </c>
      <c r="L55" s="1">
        <f t="shared" si="128"/>
        <v>3.8095238095238093</v>
      </c>
      <c r="M55" s="1">
        <f t="shared" si="128"/>
        <v>4.0476190476190474</v>
      </c>
      <c r="N55" s="1">
        <f t="shared" si="128"/>
        <v>4.2857142857142856</v>
      </c>
      <c r="O55" s="1">
        <f t="shared" si="128"/>
        <v>4.5238095238095237</v>
      </c>
      <c r="P55" s="1">
        <f t="shared" si="128"/>
        <v>4.7619047619047619</v>
      </c>
      <c r="Q55" s="1">
        <f t="shared" si="128"/>
        <v>5</v>
      </c>
      <c r="R55" s="1">
        <f t="shared" si="128"/>
        <v>5.2380952380952381</v>
      </c>
      <c r="S55" s="1">
        <f t="shared" si="128"/>
        <v>5.4761904761904763</v>
      </c>
      <c r="T55" s="1">
        <f t="shared" si="126"/>
        <v>5.7142857142857144</v>
      </c>
      <c r="U55" s="1">
        <f t="shared" si="126"/>
        <v>5.9523809523809526</v>
      </c>
      <c r="V55" s="1">
        <f t="shared" si="126"/>
        <v>6.1904761904761907</v>
      </c>
      <c r="W55" s="1">
        <f t="shared" si="126"/>
        <v>6.4285714285714288</v>
      </c>
      <c r="X55" s="1">
        <f t="shared" si="126"/>
        <v>6.666666666666667</v>
      </c>
      <c r="Y55" s="1">
        <f t="shared" si="126"/>
        <v>6.9047619047619051</v>
      </c>
      <c r="Z55" s="1">
        <f t="shared" si="126"/>
        <v>7.1428571428571432</v>
      </c>
      <c r="AA55" s="1">
        <f t="shared" si="126"/>
        <v>7.3809523809523814</v>
      </c>
      <c r="AB55" s="1">
        <f t="shared" si="126"/>
        <v>7.6190476190476186</v>
      </c>
      <c r="AC55" s="1">
        <f t="shared" si="126"/>
        <v>7.8571428571428568</v>
      </c>
      <c r="AD55" s="1">
        <f t="shared" si="126"/>
        <v>8.0952380952380949</v>
      </c>
      <c r="AE55" s="1">
        <f t="shared" si="126"/>
        <v>8.3333333333333339</v>
      </c>
      <c r="AF55" s="1">
        <f t="shared" si="126"/>
        <v>8.5714285714285712</v>
      </c>
      <c r="AG55" s="1">
        <f t="shared" si="126"/>
        <v>8.8095238095238102</v>
      </c>
      <c r="AH55" s="1">
        <f t="shared" si="126"/>
        <v>9.0476190476190474</v>
      </c>
      <c r="AI55" s="1">
        <f t="shared" si="120"/>
        <v>9.2857142857142865</v>
      </c>
      <c r="AJ55" s="1">
        <f t="shared" si="120"/>
        <v>9.5238095238095237</v>
      </c>
      <c r="AK55" s="1">
        <f t="shared" si="120"/>
        <v>9.7619047619047628</v>
      </c>
      <c r="AL55" s="1">
        <f t="shared" si="120"/>
        <v>10</v>
      </c>
      <c r="AM55" s="1">
        <f t="shared" si="120"/>
        <v>10.238095238095237</v>
      </c>
      <c r="AN55" s="1">
        <f t="shared" si="120"/>
        <v>10.476190476190476</v>
      </c>
      <c r="AO55" s="1">
        <f t="shared" si="120"/>
        <v>10.714285714285714</v>
      </c>
      <c r="AP55" s="1">
        <f t="shared" si="120"/>
        <v>10.952380952380953</v>
      </c>
      <c r="AQ55" s="1">
        <f t="shared" si="120"/>
        <v>11.19047619047619</v>
      </c>
      <c r="AR55" s="1">
        <f t="shared" si="119"/>
        <v>11.428571428571429</v>
      </c>
      <c r="AS55" s="1">
        <f t="shared" si="119"/>
        <v>11.666666666666666</v>
      </c>
      <c r="AT55" s="1">
        <f t="shared" si="119"/>
        <v>11.904761904761905</v>
      </c>
      <c r="AU55" s="1">
        <f t="shared" si="119"/>
        <v>12.142857142857142</v>
      </c>
      <c r="AV55" s="1">
        <f t="shared" si="119"/>
        <v>12.380952380952381</v>
      </c>
      <c r="AW55" s="1">
        <f t="shared" si="119"/>
        <v>12.619047619047619</v>
      </c>
      <c r="AX55" s="1">
        <f t="shared" si="119"/>
        <v>12.857142857142858</v>
      </c>
      <c r="AY55" s="1">
        <f t="shared" si="127"/>
        <v>13.095238095238095</v>
      </c>
      <c r="AZ55" s="1">
        <f t="shared" si="127"/>
        <v>13.333333333333334</v>
      </c>
      <c r="BA55" s="1">
        <f t="shared" si="127"/>
        <v>13.571428571428571</v>
      </c>
      <c r="BB55" s="1">
        <f t="shared" si="127"/>
        <v>13.80952380952381</v>
      </c>
      <c r="BC55" s="1">
        <f t="shared" si="127"/>
        <v>14.047619047619047</v>
      </c>
      <c r="BD55" s="1">
        <f t="shared" si="127"/>
        <v>14.285714285714286</v>
      </c>
      <c r="BE55" s="1">
        <f t="shared" si="127"/>
        <v>14.523809523809524</v>
      </c>
      <c r="BF55" s="1">
        <f t="shared" si="127"/>
        <v>14.761904761904763</v>
      </c>
      <c r="BG55" s="1">
        <f t="shared" si="127"/>
        <v>15</v>
      </c>
      <c r="BH55" s="1">
        <f t="shared" si="127"/>
        <v>15.238095238095237</v>
      </c>
      <c r="BI55" s="1">
        <f t="shared" si="127"/>
        <v>15.476190476190476</v>
      </c>
      <c r="BJ55" s="1">
        <f t="shared" si="127"/>
        <v>15.714285714285714</v>
      </c>
      <c r="BK55" s="1">
        <f t="shared" si="127"/>
        <v>15.952380952380953</v>
      </c>
      <c r="BL55" s="1">
        <f t="shared" si="127"/>
        <v>16.19047619047619</v>
      </c>
      <c r="BM55" s="1">
        <f t="shared" si="127"/>
        <v>16.428571428571427</v>
      </c>
      <c r="BN55" s="1">
        <f t="shared" si="127"/>
        <v>16.666666666666668</v>
      </c>
      <c r="BO55" s="1">
        <f t="shared" si="125"/>
        <v>16.904761904761905</v>
      </c>
      <c r="BP55" s="1">
        <f t="shared" si="125"/>
        <v>17.142857142857142</v>
      </c>
      <c r="BQ55" s="1">
        <f t="shared" si="123"/>
        <v>17.38095238095238</v>
      </c>
      <c r="BR55" s="1">
        <f t="shared" si="123"/>
        <v>17.61904761904762</v>
      </c>
      <c r="BS55" s="1">
        <f t="shared" si="123"/>
        <v>17.857142857142858</v>
      </c>
      <c r="BT55" s="1">
        <f t="shared" si="123"/>
        <v>18.095238095238095</v>
      </c>
      <c r="BU55" s="1">
        <f t="shared" si="123"/>
        <v>18.333333333333332</v>
      </c>
      <c r="BV55" s="1">
        <f t="shared" si="123"/>
        <v>18.571428571428573</v>
      </c>
      <c r="BW55" s="1">
        <f t="shared" si="123"/>
        <v>18.80952380952381</v>
      </c>
      <c r="BX55" s="1">
        <f t="shared" si="123"/>
        <v>19.047619047619047</v>
      </c>
      <c r="BY55" s="1">
        <f t="shared" si="123"/>
        <v>19.285714285714285</v>
      </c>
      <c r="BZ55" s="1">
        <f t="shared" si="123"/>
        <v>19.523809523809526</v>
      </c>
      <c r="CA55" s="1">
        <f t="shared" si="123"/>
        <v>19.761904761904763</v>
      </c>
      <c r="CB55" s="1">
        <f t="shared" si="123"/>
        <v>20</v>
      </c>
      <c r="CC55" s="1">
        <f t="shared" si="123"/>
        <v>20.238095238095237</v>
      </c>
      <c r="CD55" s="1">
        <f t="shared" si="123"/>
        <v>20.476190476190474</v>
      </c>
      <c r="CE55" s="1">
        <f t="shared" si="123"/>
        <v>20.714285714285715</v>
      </c>
      <c r="CF55" s="1">
        <f t="shared" si="124"/>
        <v>20.952380952380953</v>
      </c>
      <c r="CG55" s="1">
        <f t="shared" si="124"/>
        <v>21.19047619047619</v>
      </c>
      <c r="CH55" s="1">
        <f t="shared" si="124"/>
        <v>21.428571428571427</v>
      </c>
      <c r="CI55" s="1">
        <f t="shared" si="124"/>
        <v>21.666666666666668</v>
      </c>
      <c r="CJ55" s="1">
        <f t="shared" si="124"/>
        <v>21.904761904761905</v>
      </c>
      <c r="CK55" s="1">
        <f t="shared" si="124"/>
        <v>22.142857142857142</v>
      </c>
      <c r="CL55" s="1">
        <f t="shared" si="124"/>
        <v>22.38095238095238</v>
      </c>
      <c r="CM55" s="1">
        <f t="shared" si="124"/>
        <v>22.61904761904762</v>
      </c>
      <c r="CN55" s="1">
        <f t="shared" si="124"/>
        <v>22.857142857142858</v>
      </c>
      <c r="CO55" s="1">
        <f t="shared" si="124"/>
        <v>23.095238095238095</v>
      </c>
      <c r="CP55" s="1">
        <f t="shared" si="124"/>
        <v>23.333333333333332</v>
      </c>
      <c r="CQ55" s="1">
        <f t="shared" si="124"/>
        <v>23.571428571428573</v>
      </c>
      <c r="CR55" s="1">
        <f t="shared" si="124"/>
        <v>23.80952380952381</v>
      </c>
      <c r="CS55" s="1">
        <f t="shared" si="124"/>
        <v>24.047619047619047</v>
      </c>
      <c r="CT55" s="1">
        <f t="shared" si="124"/>
        <v>24.285714285714285</v>
      </c>
      <c r="CU55" s="1">
        <f t="shared" si="124"/>
        <v>24.523809523809526</v>
      </c>
      <c r="CV55" s="1">
        <f t="shared" si="122"/>
        <v>24.761904761904763</v>
      </c>
      <c r="CW55" s="1">
        <f t="shared" si="122"/>
        <v>25</v>
      </c>
      <c r="CX55" s="1">
        <f t="shared" si="122"/>
        <v>25.238095238095237</v>
      </c>
      <c r="CY55" s="1">
        <f t="shared" si="122"/>
        <v>25.476190476190474</v>
      </c>
      <c r="CZ55" s="1">
        <f t="shared" si="122"/>
        <v>25.714285714285715</v>
      </c>
      <c r="DA55" s="1">
        <f t="shared" si="122"/>
        <v>25.952380952380953</v>
      </c>
      <c r="DB55" s="1">
        <f t="shared" si="122"/>
        <v>26.19047619047619</v>
      </c>
      <c r="DC55" s="1">
        <f t="shared" si="122"/>
        <v>26.428571428571427</v>
      </c>
      <c r="DD55" s="1">
        <f t="shared" si="122"/>
        <v>26.666666666666668</v>
      </c>
      <c r="DE55" s="1">
        <f t="shared" si="122"/>
        <v>26.904761904761905</v>
      </c>
      <c r="DF55" s="1">
        <f t="shared" si="122"/>
        <v>27.142857142857142</v>
      </c>
      <c r="DG55" s="1">
        <f t="shared" si="122"/>
        <v>27.38095238095238</v>
      </c>
      <c r="DH55" s="1">
        <f t="shared" si="122"/>
        <v>27.61904761904762</v>
      </c>
      <c r="DI55" s="1">
        <f t="shared" si="122"/>
        <v>27.857142857142858</v>
      </c>
      <c r="DJ55" s="1">
        <f t="shared" si="121"/>
        <v>28.095238095238095</v>
      </c>
      <c r="DK55" s="1">
        <f t="shared" si="121"/>
        <v>28.333333333333332</v>
      </c>
      <c r="DL55" s="1">
        <f t="shared" si="115"/>
        <v>28.571428571428573</v>
      </c>
      <c r="DM55" s="1">
        <f t="shared" si="113"/>
        <v>28.80952380952381</v>
      </c>
      <c r="DN55" s="1">
        <f t="shared" si="113"/>
        <v>29.047619047619047</v>
      </c>
      <c r="DO55" s="1">
        <f t="shared" si="113"/>
        <v>29.285714285714285</v>
      </c>
      <c r="DP55" s="1">
        <f t="shared" si="113"/>
        <v>29.523809523809526</v>
      </c>
      <c r="DQ55" s="1">
        <f t="shared" si="113"/>
        <v>29.761904761904763</v>
      </c>
      <c r="DR55" s="1">
        <f t="shared" si="113"/>
        <v>30</v>
      </c>
      <c r="DS55" s="1">
        <f t="shared" si="113"/>
        <v>30.238095238095237</v>
      </c>
    </row>
    <row r="56" spans="1:123" x14ac:dyDescent="0.3">
      <c r="A56" s="81"/>
      <c r="B56" s="13" t="str">
        <f t="shared" si="99"/>
        <v>0x2B</v>
      </c>
      <c r="C56" s="12">
        <f t="shared" si="101"/>
        <v>43</v>
      </c>
      <c r="D56" s="1">
        <f t="shared" si="128"/>
        <v>1.8604651162790697</v>
      </c>
      <c r="E56" s="1">
        <f t="shared" si="128"/>
        <v>2.0930232558139537</v>
      </c>
      <c r="F56" s="1">
        <f t="shared" si="128"/>
        <v>2.3255813953488373</v>
      </c>
      <c r="G56" s="1">
        <f t="shared" si="128"/>
        <v>2.558139534883721</v>
      </c>
      <c r="H56" s="1">
        <f t="shared" si="128"/>
        <v>2.7906976744186047</v>
      </c>
      <c r="I56" s="1">
        <f t="shared" si="128"/>
        <v>3.0232558139534884</v>
      </c>
      <c r="J56" s="1">
        <f t="shared" si="128"/>
        <v>3.2558139534883721</v>
      </c>
      <c r="K56" s="1">
        <f t="shared" si="128"/>
        <v>3.4883720930232558</v>
      </c>
      <c r="L56" s="1">
        <f t="shared" si="128"/>
        <v>3.7209302325581395</v>
      </c>
      <c r="M56" s="1">
        <f t="shared" si="128"/>
        <v>3.9534883720930232</v>
      </c>
      <c r="N56" s="1">
        <f t="shared" si="128"/>
        <v>4.1860465116279073</v>
      </c>
      <c r="O56" s="1">
        <f t="shared" si="128"/>
        <v>4.4186046511627906</v>
      </c>
      <c r="P56" s="1">
        <f t="shared" si="128"/>
        <v>4.6511627906976747</v>
      </c>
      <c r="Q56" s="1">
        <f t="shared" si="128"/>
        <v>4.8837209302325579</v>
      </c>
      <c r="R56" s="1">
        <f t="shared" si="128"/>
        <v>5.1162790697674421</v>
      </c>
      <c r="S56" s="1">
        <f t="shared" si="128"/>
        <v>5.3488372093023253</v>
      </c>
      <c r="T56" s="1">
        <f t="shared" si="126"/>
        <v>5.5813953488372094</v>
      </c>
      <c r="U56" s="1">
        <f t="shared" si="126"/>
        <v>5.8139534883720927</v>
      </c>
      <c r="V56" s="1">
        <f t="shared" si="126"/>
        <v>6.0465116279069768</v>
      </c>
      <c r="W56" s="1">
        <f t="shared" si="126"/>
        <v>6.2790697674418601</v>
      </c>
      <c r="X56" s="1">
        <f t="shared" si="126"/>
        <v>6.5116279069767442</v>
      </c>
      <c r="Y56" s="1">
        <f t="shared" si="126"/>
        <v>6.7441860465116283</v>
      </c>
      <c r="Z56" s="1">
        <f t="shared" si="126"/>
        <v>6.9767441860465116</v>
      </c>
      <c r="AA56" s="1">
        <f t="shared" si="126"/>
        <v>7.2093023255813957</v>
      </c>
      <c r="AB56" s="1">
        <f t="shared" si="126"/>
        <v>7.441860465116279</v>
      </c>
      <c r="AC56" s="1">
        <f t="shared" si="126"/>
        <v>7.6744186046511631</v>
      </c>
      <c r="AD56" s="1">
        <f t="shared" si="126"/>
        <v>7.9069767441860463</v>
      </c>
      <c r="AE56" s="1">
        <f t="shared" si="126"/>
        <v>8.1395348837209305</v>
      </c>
      <c r="AF56" s="1">
        <f t="shared" si="126"/>
        <v>8.3720930232558146</v>
      </c>
      <c r="AG56" s="1">
        <f t="shared" si="126"/>
        <v>8.604651162790697</v>
      </c>
      <c r="AH56" s="1">
        <f t="shared" si="126"/>
        <v>8.8372093023255811</v>
      </c>
      <c r="AI56" s="1">
        <f t="shared" si="120"/>
        <v>9.0697674418604652</v>
      </c>
      <c r="AJ56" s="1">
        <f t="shared" si="120"/>
        <v>9.3023255813953494</v>
      </c>
      <c r="AK56" s="1">
        <f t="shared" si="120"/>
        <v>9.5348837209302317</v>
      </c>
      <c r="AL56" s="1">
        <f t="shared" si="120"/>
        <v>9.7674418604651159</v>
      </c>
      <c r="AM56" s="1">
        <f t="shared" ref="AM56:BB71" si="129">IF($U$3=0,0,($U$2*AM$13)/($C56*$U$3))</f>
        <v>10</v>
      </c>
      <c r="AN56" s="1">
        <f t="shared" si="129"/>
        <v>10.232558139534884</v>
      </c>
      <c r="AO56" s="1">
        <f t="shared" si="129"/>
        <v>10.465116279069768</v>
      </c>
      <c r="AP56" s="1">
        <f t="shared" si="129"/>
        <v>10.697674418604651</v>
      </c>
      <c r="AQ56" s="1">
        <f t="shared" si="129"/>
        <v>10.930232558139535</v>
      </c>
      <c r="AR56" s="1">
        <f t="shared" si="129"/>
        <v>11.162790697674419</v>
      </c>
      <c r="AS56" s="1">
        <f t="shared" si="129"/>
        <v>11.395348837209303</v>
      </c>
      <c r="AT56" s="1">
        <f t="shared" si="129"/>
        <v>11.627906976744185</v>
      </c>
      <c r="AU56" s="1">
        <f t="shared" si="129"/>
        <v>11.86046511627907</v>
      </c>
      <c r="AV56" s="1">
        <f t="shared" si="129"/>
        <v>12.093023255813954</v>
      </c>
      <c r="AW56" s="1">
        <f t="shared" si="129"/>
        <v>12.325581395348838</v>
      </c>
      <c r="AX56" s="1">
        <f t="shared" si="129"/>
        <v>12.55813953488372</v>
      </c>
      <c r="AY56" s="1">
        <f t="shared" si="129"/>
        <v>12.790697674418604</v>
      </c>
      <c r="AZ56" s="1">
        <f t="shared" si="129"/>
        <v>13.023255813953488</v>
      </c>
      <c r="BA56" s="1">
        <f t="shared" si="129"/>
        <v>13.255813953488373</v>
      </c>
      <c r="BB56" s="1">
        <f t="shared" si="129"/>
        <v>13.488372093023257</v>
      </c>
      <c r="BC56" s="1">
        <f t="shared" si="127"/>
        <v>13.720930232558139</v>
      </c>
      <c r="BD56" s="1">
        <f t="shared" si="127"/>
        <v>13.953488372093023</v>
      </c>
      <c r="BE56" s="1">
        <f t="shared" si="127"/>
        <v>14.186046511627907</v>
      </c>
      <c r="BF56" s="1">
        <f t="shared" si="127"/>
        <v>14.418604651162791</v>
      </c>
      <c r="BG56" s="1">
        <f t="shared" si="127"/>
        <v>14.651162790697674</v>
      </c>
      <c r="BH56" s="1">
        <f t="shared" si="127"/>
        <v>14.883720930232558</v>
      </c>
      <c r="BI56" s="1">
        <f t="shared" si="127"/>
        <v>15.116279069767442</v>
      </c>
      <c r="BJ56" s="1">
        <f t="shared" si="127"/>
        <v>15.348837209302326</v>
      </c>
      <c r="BK56" s="1">
        <f t="shared" si="127"/>
        <v>15.581395348837209</v>
      </c>
      <c r="BL56" s="1">
        <f t="shared" si="127"/>
        <v>15.813953488372093</v>
      </c>
      <c r="BM56" s="1">
        <f t="shared" si="127"/>
        <v>16.046511627906977</v>
      </c>
      <c r="BN56" s="1">
        <f t="shared" si="127"/>
        <v>16.279069767441861</v>
      </c>
      <c r="BO56" s="1">
        <f t="shared" si="125"/>
        <v>16.511627906976745</v>
      </c>
      <c r="BP56" s="1">
        <f t="shared" si="125"/>
        <v>16.744186046511629</v>
      </c>
      <c r="BQ56" s="1">
        <f t="shared" si="123"/>
        <v>16.976744186046513</v>
      </c>
      <c r="BR56" s="1">
        <f t="shared" si="123"/>
        <v>17.209302325581394</v>
      </c>
      <c r="BS56" s="1">
        <f t="shared" si="123"/>
        <v>17.441860465116278</v>
      </c>
      <c r="BT56" s="1">
        <f t="shared" si="123"/>
        <v>17.674418604651162</v>
      </c>
      <c r="BU56" s="1">
        <f t="shared" si="123"/>
        <v>17.906976744186046</v>
      </c>
      <c r="BV56" s="1">
        <f t="shared" si="123"/>
        <v>18.13953488372093</v>
      </c>
      <c r="BW56" s="1">
        <f t="shared" si="123"/>
        <v>18.372093023255815</v>
      </c>
      <c r="BX56" s="1">
        <f t="shared" si="123"/>
        <v>18.604651162790699</v>
      </c>
      <c r="BY56" s="1">
        <f t="shared" si="123"/>
        <v>18.837209302325583</v>
      </c>
      <c r="BZ56" s="1">
        <f t="shared" si="123"/>
        <v>19.069767441860463</v>
      </c>
      <c r="CA56" s="1">
        <f t="shared" si="123"/>
        <v>19.302325581395348</v>
      </c>
      <c r="CB56" s="1">
        <f t="shared" si="123"/>
        <v>19.534883720930232</v>
      </c>
      <c r="CC56" s="1">
        <f t="shared" si="123"/>
        <v>19.767441860465116</v>
      </c>
      <c r="CD56" s="1">
        <f t="shared" si="123"/>
        <v>20</v>
      </c>
      <c r="CE56" s="1">
        <f t="shared" si="123"/>
        <v>20.232558139534884</v>
      </c>
      <c r="CF56" s="1">
        <f t="shared" si="124"/>
        <v>20.465116279069768</v>
      </c>
      <c r="CG56" s="1">
        <f t="shared" si="124"/>
        <v>20.697674418604652</v>
      </c>
      <c r="CH56" s="1">
        <f t="shared" si="124"/>
        <v>20.930232558139537</v>
      </c>
      <c r="CI56" s="1">
        <f t="shared" si="124"/>
        <v>21.162790697674417</v>
      </c>
      <c r="CJ56" s="1">
        <f t="shared" si="124"/>
        <v>21.395348837209301</v>
      </c>
      <c r="CK56" s="1">
        <f t="shared" si="124"/>
        <v>21.627906976744185</v>
      </c>
      <c r="CL56" s="1">
        <f t="shared" si="124"/>
        <v>21.86046511627907</v>
      </c>
      <c r="CM56" s="1">
        <f t="shared" si="124"/>
        <v>22.093023255813954</v>
      </c>
      <c r="CN56" s="1">
        <f t="shared" si="124"/>
        <v>22.325581395348838</v>
      </c>
      <c r="CO56" s="1">
        <f t="shared" si="124"/>
        <v>22.558139534883722</v>
      </c>
      <c r="CP56" s="1">
        <f t="shared" si="124"/>
        <v>22.790697674418606</v>
      </c>
      <c r="CQ56" s="1">
        <f t="shared" si="124"/>
        <v>23.023255813953487</v>
      </c>
      <c r="CR56" s="1">
        <f t="shared" si="124"/>
        <v>23.255813953488371</v>
      </c>
      <c r="CS56" s="1">
        <f t="shared" si="124"/>
        <v>23.488372093023255</v>
      </c>
      <c r="CT56" s="1">
        <f t="shared" si="124"/>
        <v>23.720930232558139</v>
      </c>
      <c r="CU56" s="1">
        <f t="shared" si="124"/>
        <v>23.953488372093023</v>
      </c>
      <c r="CV56" s="1">
        <f t="shared" si="122"/>
        <v>24.186046511627907</v>
      </c>
      <c r="CW56" s="1">
        <f t="shared" si="122"/>
        <v>24.418604651162791</v>
      </c>
      <c r="CX56" s="1">
        <f t="shared" si="122"/>
        <v>24.651162790697676</v>
      </c>
      <c r="CY56" s="1">
        <f t="shared" si="122"/>
        <v>24.88372093023256</v>
      </c>
      <c r="CZ56" s="1">
        <f t="shared" si="122"/>
        <v>25.11627906976744</v>
      </c>
      <c r="DA56" s="1">
        <f t="shared" si="122"/>
        <v>25.348837209302324</v>
      </c>
      <c r="DB56" s="1">
        <f t="shared" si="122"/>
        <v>25.581395348837209</v>
      </c>
      <c r="DC56" s="1">
        <f t="shared" si="122"/>
        <v>25.813953488372093</v>
      </c>
      <c r="DD56" s="1">
        <f t="shared" si="122"/>
        <v>26.046511627906977</v>
      </c>
      <c r="DE56" s="1">
        <f t="shared" si="122"/>
        <v>26.279069767441861</v>
      </c>
      <c r="DF56" s="1">
        <f t="shared" si="122"/>
        <v>26.511627906976745</v>
      </c>
      <c r="DG56" s="1">
        <f t="shared" si="122"/>
        <v>26.744186046511629</v>
      </c>
      <c r="DH56" s="1">
        <f t="shared" si="122"/>
        <v>26.976744186046513</v>
      </c>
      <c r="DI56" s="1">
        <f t="shared" si="122"/>
        <v>27.209302325581394</v>
      </c>
      <c r="DJ56" s="1">
        <f t="shared" si="121"/>
        <v>27.441860465116278</v>
      </c>
      <c r="DK56" s="1">
        <f t="shared" si="121"/>
        <v>27.674418604651162</v>
      </c>
      <c r="DL56" s="1">
        <f t="shared" si="115"/>
        <v>27.906976744186046</v>
      </c>
      <c r="DM56" s="1">
        <f t="shared" si="113"/>
        <v>28.13953488372093</v>
      </c>
      <c r="DN56" s="1">
        <f t="shared" si="113"/>
        <v>28.372093023255815</v>
      </c>
      <c r="DO56" s="1">
        <f t="shared" si="113"/>
        <v>28.604651162790699</v>
      </c>
      <c r="DP56" s="1">
        <f t="shared" si="113"/>
        <v>28.837209302325583</v>
      </c>
      <c r="DQ56" s="1">
        <f t="shared" si="113"/>
        <v>29.069767441860463</v>
      </c>
      <c r="DR56" s="1">
        <f t="shared" si="113"/>
        <v>29.302325581395348</v>
      </c>
      <c r="DS56" s="1">
        <f t="shared" si="113"/>
        <v>29.534883720930232</v>
      </c>
    </row>
    <row r="57" spans="1:123" x14ac:dyDescent="0.3">
      <c r="A57" s="81"/>
      <c r="B57" s="13" t="str">
        <f t="shared" si="99"/>
        <v>0x2C</v>
      </c>
      <c r="C57" s="12">
        <f t="shared" si="101"/>
        <v>44</v>
      </c>
      <c r="D57" s="1">
        <f t="shared" si="128"/>
        <v>1.8181818181818181</v>
      </c>
      <c r="E57" s="1">
        <f t="shared" si="128"/>
        <v>2.0454545454545454</v>
      </c>
      <c r="F57" s="1">
        <f t="shared" si="128"/>
        <v>2.2727272727272729</v>
      </c>
      <c r="G57" s="1">
        <f t="shared" si="128"/>
        <v>2.5</v>
      </c>
      <c r="H57" s="1">
        <f t="shared" si="128"/>
        <v>2.7272727272727271</v>
      </c>
      <c r="I57" s="1">
        <f t="shared" si="128"/>
        <v>2.9545454545454546</v>
      </c>
      <c r="J57" s="1">
        <f t="shared" si="128"/>
        <v>3.1818181818181817</v>
      </c>
      <c r="K57" s="1">
        <f t="shared" si="128"/>
        <v>3.4090909090909092</v>
      </c>
      <c r="L57" s="1">
        <f t="shared" si="128"/>
        <v>3.6363636363636362</v>
      </c>
      <c r="M57" s="1">
        <f t="shared" si="128"/>
        <v>3.8636363636363638</v>
      </c>
      <c r="N57" s="1">
        <f t="shared" si="128"/>
        <v>4.0909090909090908</v>
      </c>
      <c r="O57" s="1">
        <f t="shared" si="128"/>
        <v>4.3181818181818183</v>
      </c>
      <c r="P57" s="1">
        <f t="shared" si="128"/>
        <v>4.5454545454545459</v>
      </c>
      <c r="Q57" s="1">
        <f t="shared" si="128"/>
        <v>4.7727272727272725</v>
      </c>
      <c r="R57" s="1">
        <f t="shared" si="128"/>
        <v>5</v>
      </c>
      <c r="S57" s="1">
        <f t="shared" si="128"/>
        <v>5.2272727272727275</v>
      </c>
      <c r="T57" s="1">
        <f t="shared" si="126"/>
        <v>5.4545454545454541</v>
      </c>
      <c r="U57" s="1">
        <f t="shared" si="126"/>
        <v>5.6818181818181817</v>
      </c>
      <c r="V57" s="1">
        <f t="shared" si="126"/>
        <v>5.9090909090909092</v>
      </c>
      <c r="W57" s="1">
        <f t="shared" si="126"/>
        <v>6.1363636363636367</v>
      </c>
      <c r="X57" s="1">
        <f t="shared" si="126"/>
        <v>6.3636363636363633</v>
      </c>
      <c r="Y57" s="1">
        <f t="shared" si="126"/>
        <v>6.5909090909090908</v>
      </c>
      <c r="Z57" s="1">
        <f t="shared" si="126"/>
        <v>6.8181818181818183</v>
      </c>
      <c r="AA57" s="1">
        <f t="shared" si="126"/>
        <v>7.0454545454545459</v>
      </c>
      <c r="AB57" s="1">
        <f t="shared" si="126"/>
        <v>7.2727272727272725</v>
      </c>
      <c r="AC57" s="1">
        <f t="shared" si="126"/>
        <v>7.5</v>
      </c>
      <c r="AD57" s="1">
        <f t="shared" si="126"/>
        <v>7.7272727272727275</v>
      </c>
      <c r="AE57" s="1">
        <f t="shared" si="126"/>
        <v>7.9545454545454541</v>
      </c>
      <c r="AF57" s="1">
        <f t="shared" si="126"/>
        <v>8.1818181818181817</v>
      </c>
      <c r="AG57" s="1">
        <f t="shared" si="126"/>
        <v>8.4090909090909083</v>
      </c>
      <c r="AH57" s="1">
        <f t="shared" si="126"/>
        <v>8.6363636363636367</v>
      </c>
      <c r="AI57" s="1">
        <f t="shared" ref="AI57:AX72" si="130">IF($U$3=0,0,($U$2*AI$13)/($C57*$U$3))</f>
        <v>8.8636363636363633</v>
      </c>
      <c r="AJ57" s="1">
        <f t="shared" si="130"/>
        <v>9.0909090909090917</v>
      </c>
      <c r="AK57" s="1">
        <f t="shared" si="130"/>
        <v>9.3181818181818183</v>
      </c>
      <c r="AL57" s="1">
        <f t="shared" si="130"/>
        <v>9.545454545454545</v>
      </c>
      <c r="AM57" s="1">
        <f t="shared" si="130"/>
        <v>9.7727272727272734</v>
      </c>
      <c r="AN57" s="1">
        <f t="shared" si="130"/>
        <v>10</v>
      </c>
      <c r="AO57" s="1">
        <f t="shared" si="130"/>
        <v>10.227272727272727</v>
      </c>
      <c r="AP57" s="1">
        <f t="shared" si="130"/>
        <v>10.454545454545455</v>
      </c>
      <c r="AQ57" s="1">
        <f t="shared" si="130"/>
        <v>10.681818181818182</v>
      </c>
      <c r="AR57" s="1">
        <f t="shared" si="130"/>
        <v>10.909090909090908</v>
      </c>
      <c r="AS57" s="1">
        <f t="shared" si="130"/>
        <v>11.136363636363637</v>
      </c>
      <c r="AT57" s="1">
        <f t="shared" si="130"/>
        <v>11.363636363636363</v>
      </c>
      <c r="AU57" s="1">
        <f t="shared" si="130"/>
        <v>11.590909090909092</v>
      </c>
      <c r="AV57" s="1">
        <f t="shared" si="130"/>
        <v>11.818181818181818</v>
      </c>
      <c r="AW57" s="1">
        <f t="shared" si="130"/>
        <v>12.045454545454545</v>
      </c>
      <c r="AX57" s="1">
        <f t="shared" si="130"/>
        <v>12.272727272727273</v>
      </c>
      <c r="AY57" s="1">
        <f t="shared" si="129"/>
        <v>12.5</v>
      </c>
      <c r="AZ57" s="1">
        <f t="shared" si="129"/>
        <v>12.727272727272727</v>
      </c>
      <c r="BA57" s="1">
        <f t="shared" si="129"/>
        <v>12.954545454545455</v>
      </c>
      <c r="BB57" s="1">
        <f t="shared" si="129"/>
        <v>13.181818181818182</v>
      </c>
      <c r="BC57" s="1">
        <f t="shared" si="127"/>
        <v>13.409090909090908</v>
      </c>
      <c r="BD57" s="1">
        <f t="shared" si="127"/>
        <v>13.636363636363637</v>
      </c>
      <c r="BE57" s="1">
        <f t="shared" si="127"/>
        <v>13.863636363636363</v>
      </c>
      <c r="BF57" s="1">
        <f t="shared" si="127"/>
        <v>14.090909090909092</v>
      </c>
      <c r="BG57" s="1">
        <f t="shared" si="127"/>
        <v>14.318181818181818</v>
      </c>
      <c r="BH57" s="1">
        <f t="shared" si="127"/>
        <v>14.545454545454545</v>
      </c>
      <c r="BI57" s="1">
        <f t="shared" si="127"/>
        <v>14.772727272727273</v>
      </c>
      <c r="BJ57" s="1">
        <f t="shared" si="127"/>
        <v>15</v>
      </c>
      <c r="BK57" s="1">
        <f t="shared" si="127"/>
        <v>15.227272727272727</v>
      </c>
      <c r="BL57" s="1">
        <f t="shared" si="127"/>
        <v>15.454545454545455</v>
      </c>
      <c r="BM57" s="1">
        <f t="shared" si="127"/>
        <v>15.681818181818182</v>
      </c>
      <c r="BN57" s="1">
        <f t="shared" si="127"/>
        <v>15.909090909090908</v>
      </c>
      <c r="BO57" s="1">
        <f t="shared" si="125"/>
        <v>16.136363636363637</v>
      </c>
      <c r="BP57" s="1">
        <f t="shared" si="125"/>
        <v>16.363636363636363</v>
      </c>
      <c r="BQ57" s="1">
        <f t="shared" si="123"/>
        <v>16.59090909090909</v>
      </c>
      <c r="BR57" s="1">
        <f t="shared" si="123"/>
        <v>16.818181818181817</v>
      </c>
      <c r="BS57" s="1">
        <f t="shared" si="123"/>
        <v>17.045454545454547</v>
      </c>
      <c r="BT57" s="1">
        <f t="shared" si="123"/>
        <v>17.272727272727273</v>
      </c>
      <c r="BU57" s="1">
        <f t="shared" si="123"/>
        <v>17.5</v>
      </c>
      <c r="BV57" s="1">
        <f t="shared" si="123"/>
        <v>17.727272727272727</v>
      </c>
      <c r="BW57" s="1">
        <f t="shared" si="123"/>
        <v>17.954545454545453</v>
      </c>
      <c r="BX57" s="1">
        <f t="shared" si="123"/>
        <v>18.181818181818183</v>
      </c>
      <c r="BY57" s="1">
        <f t="shared" si="123"/>
        <v>18.40909090909091</v>
      </c>
      <c r="BZ57" s="1">
        <f t="shared" si="123"/>
        <v>18.636363636363637</v>
      </c>
      <c r="CA57" s="1">
        <f t="shared" si="123"/>
        <v>18.863636363636363</v>
      </c>
      <c r="CB57" s="1">
        <f t="shared" si="123"/>
        <v>19.09090909090909</v>
      </c>
      <c r="CC57" s="1">
        <f t="shared" si="123"/>
        <v>19.318181818181817</v>
      </c>
      <c r="CD57" s="1">
        <f t="shared" si="123"/>
        <v>19.545454545454547</v>
      </c>
      <c r="CE57" s="1">
        <f t="shared" si="123"/>
        <v>19.772727272727273</v>
      </c>
      <c r="CF57" s="1">
        <f t="shared" si="124"/>
        <v>20</v>
      </c>
      <c r="CG57" s="1">
        <f t="shared" si="124"/>
        <v>20.227272727272727</v>
      </c>
      <c r="CH57" s="1">
        <f t="shared" si="124"/>
        <v>20.454545454545453</v>
      </c>
      <c r="CI57" s="1">
        <f t="shared" si="124"/>
        <v>20.681818181818183</v>
      </c>
      <c r="CJ57" s="1">
        <f t="shared" si="124"/>
        <v>20.90909090909091</v>
      </c>
      <c r="CK57" s="1">
        <f t="shared" si="124"/>
        <v>21.136363636363637</v>
      </c>
      <c r="CL57" s="1">
        <f t="shared" si="124"/>
        <v>21.363636363636363</v>
      </c>
      <c r="CM57" s="1">
        <f t="shared" si="124"/>
        <v>21.59090909090909</v>
      </c>
      <c r="CN57" s="1">
        <f t="shared" si="124"/>
        <v>21.818181818181817</v>
      </c>
      <c r="CO57" s="1">
        <f t="shared" si="124"/>
        <v>22.045454545454547</v>
      </c>
      <c r="CP57" s="1">
        <f t="shared" si="124"/>
        <v>22.272727272727273</v>
      </c>
      <c r="CQ57" s="1">
        <f t="shared" si="124"/>
        <v>22.5</v>
      </c>
      <c r="CR57" s="1">
        <f t="shared" si="124"/>
        <v>22.727272727272727</v>
      </c>
      <c r="CS57" s="1">
        <f t="shared" si="124"/>
        <v>22.954545454545453</v>
      </c>
      <c r="CT57" s="1">
        <f t="shared" si="124"/>
        <v>23.181818181818183</v>
      </c>
      <c r="CU57" s="1">
        <f t="shared" si="124"/>
        <v>23.40909090909091</v>
      </c>
      <c r="CV57" s="1">
        <f t="shared" si="122"/>
        <v>23.636363636363637</v>
      </c>
      <c r="CW57" s="1">
        <f t="shared" si="122"/>
        <v>23.863636363636363</v>
      </c>
      <c r="CX57" s="1">
        <f t="shared" si="122"/>
        <v>24.09090909090909</v>
      </c>
      <c r="CY57" s="1">
        <f t="shared" si="122"/>
        <v>24.318181818181817</v>
      </c>
      <c r="CZ57" s="1">
        <f t="shared" si="122"/>
        <v>24.545454545454547</v>
      </c>
      <c r="DA57" s="1">
        <f t="shared" si="122"/>
        <v>24.772727272727273</v>
      </c>
      <c r="DB57" s="1">
        <f t="shared" si="122"/>
        <v>25</v>
      </c>
      <c r="DC57" s="1">
        <f t="shared" si="122"/>
        <v>25.227272727272727</v>
      </c>
      <c r="DD57" s="1">
        <f t="shared" si="122"/>
        <v>25.454545454545453</v>
      </c>
      <c r="DE57" s="1">
        <f t="shared" si="122"/>
        <v>25.681818181818183</v>
      </c>
      <c r="DF57" s="1">
        <f t="shared" si="122"/>
        <v>25.90909090909091</v>
      </c>
      <c r="DG57" s="1">
        <f t="shared" si="122"/>
        <v>26.136363636363637</v>
      </c>
      <c r="DH57" s="1">
        <f t="shared" si="122"/>
        <v>26.363636363636363</v>
      </c>
      <c r="DI57" s="1">
        <f t="shared" si="122"/>
        <v>26.59090909090909</v>
      </c>
      <c r="DJ57" s="1">
        <f t="shared" si="121"/>
        <v>26.818181818181817</v>
      </c>
      <c r="DK57" s="1">
        <f t="shared" si="121"/>
        <v>27.045454545454547</v>
      </c>
      <c r="DL57" s="1">
        <f t="shared" si="115"/>
        <v>27.272727272727273</v>
      </c>
      <c r="DM57" s="1">
        <f t="shared" si="113"/>
        <v>27.5</v>
      </c>
      <c r="DN57" s="1">
        <f t="shared" si="113"/>
        <v>27.727272727272727</v>
      </c>
      <c r="DO57" s="1">
        <f t="shared" si="113"/>
        <v>27.954545454545453</v>
      </c>
      <c r="DP57" s="1">
        <f t="shared" si="113"/>
        <v>28.181818181818183</v>
      </c>
      <c r="DQ57" s="1">
        <f t="shared" si="113"/>
        <v>28.40909090909091</v>
      </c>
      <c r="DR57" s="1">
        <f t="shared" si="113"/>
        <v>28.636363636363637</v>
      </c>
      <c r="DS57" s="1">
        <f t="shared" si="113"/>
        <v>28.863636363636363</v>
      </c>
    </row>
    <row r="58" spans="1:123" x14ac:dyDescent="0.3">
      <c r="A58" s="81"/>
      <c r="B58" s="13" t="str">
        <f t="shared" si="99"/>
        <v>0x2D</v>
      </c>
      <c r="C58" s="12">
        <f t="shared" si="101"/>
        <v>45</v>
      </c>
      <c r="D58" s="1">
        <f t="shared" si="128"/>
        <v>1.7777777777777777</v>
      </c>
      <c r="E58" s="1">
        <f t="shared" si="128"/>
        <v>2</v>
      </c>
      <c r="F58" s="1">
        <f t="shared" si="128"/>
        <v>2.2222222222222223</v>
      </c>
      <c r="G58" s="1">
        <f t="shared" si="128"/>
        <v>2.4444444444444446</v>
      </c>
      <c r="H58" s="1">
        <f t="shared" si="128"/>
        <v>2.6666666666666665</v>
      </c>
      <c r="I58" s="1">
        <f t="shared" si="128"/>
        <v>2.8888888888888888</v>
      </c>
      <c r="J58" s="1">
        <f t="shared" si="128"/>
        <v>3.1111111111111112</v>
      </c>
      <c r="K58" s="1">
        <f t="shared" si="128"/>
        <v>3.3333333333333335</v>
      </c>
      <c r="L58" s="1">
        <f t="shared" si="128"/>
        <v>3.5555555555555554</v>
      </c>
      <c r="M58" s="1">
        <f t="shared" si="128"/>
        <v>3.7777777777777777</v>
      </c>
      <c r="N58" s="1">
        <f t="shared" si="128"/>
        <v>4</v>
      </c>
      <c r="O58" s="1">
        <f t="shared" si="128"/>
        <v>4.2222222222222223</v>
      </c>
      <c r="P58" s="1">
        <f t="shared" si="128"/>
        <v>4.4444444444444446</v>
      </c>
      <c r="Q58" s="1">
        <f t="shared" si="128"/>
        <v>4.666666666666667</v>
      </c>
      <c r="R58" s="1">
        <f t="shared" si="128"/>
        <v>4.8888888888888893</v>
      </c>
      <c r="S58" s="1">
        <f t="shared" si="128"/>
        <v>5.1111111111111107</v>
      </c>
      <c r="T58" s="1">
        <f t="shared" si="126"/>
        <v>5.333333333333333</v>
      </c>
      <c r="U58" s="1">
        <f t="shared" si="126"/>
        <v>5.5555555555555554</v>
      </c>
      <c r="V58" s="1">
        <f t="shared" si="126"/>
        <v>5.7777777777777777</v>
      </c>
      <c r="W58" s="1">
        <f t="shared" si="126"/>
        <v>6</v>
      </c>
      <c r="X58" s="1">
        <f t="shared" si="126"/>
        <v>6.2222222222222223</v>
      </c>
      <c r="Y58" s="1">
        <f t="shared" si="126"/>
        <v>6.4444444444444446</v>
      </c>
      <c r="Z58" s="1">
        <f t="shared" si="126"/>
        <v>6.666666666666667</v>
      </c>
      <c r="AA58" s="1">
        <f t="shared" si="126"/>
        <v>6.8888888888888893</v>
      </c>
      <c r="AB58" s="1">
        <f t="shared" si="126"/>
        <v>7.1111111111111107</v>
      </c>
      <c r="AC58" s="1">
        <f t="shared" si="126"/>
        <v>7.333333333333333</v>
      </c>
      <c r="AD58" s="1">
        <f t="shared" si="126"/>
        <v>7.5555555555555554</v>
      </c>
      <c r="AE58" s="1">
        <f t="shared" si="126"/>
        <v>7.7777777777777777</v>
      </c>
      <c r="AF58" s="1">
        <f t="shared" si="126"/>
        <v>8</v>
      </c>
      <c r="AG58" s="1">
        <f t="shared" si="126"/>
        <v>8.2222222222222214</v>
      </c>
      <c r="AH58" s="1">
        <f t="shared" si="126"/>
        <v>8.4444444444444446</v>
      </c>
      <c r="AI58" s="1">
        <f t="shared" si="130"/>
        <v>8.6666666666666661</v>
      </c>
      <c r="AJ58" s="1">
        <f t="shared" si="130"/>
        <v>8.8888888888888893</v>
      </c>
      <c r="AK58" s="1">
        <f t="shared" si="130"/>
        <v>9.1111111111111107</v>
      </c>
      <c r="AL58" s="1">
        <f t="shared" si="130"/>
        <v>9.3333333333333339</v>
      </c>
      <c r="AM58" s="1">
        <f t="shared" si="130"/>
        <v>9.5555555555555554</v>
      </c>
      <c r="AN58" s="1">
        <f t="shared" si="130"/>
        <v>9.7777777777777786</v>
      </c>
      <c r="AO58" s="1">
        <f t="shared" si="130"/>
        <v>10</v>
      </c>
      <c r="AP58" s="1">
        <f t="shared" si="130"/>
        <v>10.222222222222221</v>
      </c>
      <c r="AQ58" s="1">
        <f t="shared" si="130"/>
        <v>10.444444444444445</v>
      </c>
      <c r="AR58" s="1">
        <f t="shared" si="130"/>
        <v>10.666666666666666</v>
      </c>
      <c r="AS58" s="1">
        <f t="shared" si="130"/>
        <v>10.888888888888889</v>
      </c>
      <c r="AT58" s="1">
        <f t="shared" si="130"/>
        <v>11.111111111111111</v>
      </c>
      <c r="AU58" s="1">
        <f t="shared" si="130"/>
        <v>11.333333333333334</v>
      </c>
      <c r="AV58" s="1">
        <f t="shared" si="130"/>
        <v>11.555555555555555</v>
      </c>
      <c r="AW58" s="1">
        <f t="shared" si="130"/>
        <v>11.777777777777779</v>
      </c>
      <c r="AX58" s="1">
        <f t="shared" si="130"/>
        <v>12</v>
      </c>
      <c r="AY58" s="1">
        <f t="shared" si="129"/>
        <v>12.222222222222221</v>
      </c>
      <c r="AZ58" s="1">
        <f t="shared" si="129"/>
        <v>12.444444444444445</v>
      </c>
      <c r="BA58" s="1">
        <f t="shared" si="129"/>
        <v>12.666666666666666</v>
      </c>
      <c r="BB58" s="1">
        <f t="shared" si="129"/>
        <v>12.888888888888889</v>
      </c>
      <c r="BC58" s="1">
        <f t="shared" si="127"/>
        <v>13.111111111111111</v>
      </c>
      <c r="BD58" s="1">
        <f t="shared" si="127"/>
        <v>13.333333333333334</v>
      </c>
      <c r="BE58" s="1">
        <f t="shared" si="127"/>
        <v>13.555555555555555</v>
      </c>
      <c r="BF58" s="1">
        <f t="shared" si="127"/>
        <v>13.777777777777779</v>
      </c>
      <c r="BG58" s="1">
        <f t="shared" si="127"/>
        <v>14</v>
      </c>
      <c r="BH58" s="1">
        <f t="shared" si="127"/>
        <v>14.222222222222221</v>
      </c>
      <c r="BI58" s="1">
        <f t="shared" si="127"/>
        <v>14.444444444444445</v>
      </c>
      <c r="BJ58" s="1">
        <f t="shared" si="127"/>
        <v>14.666666666666666</v>
      </c>
      <c r="BK58" s="1">
        <f t="shared" si="127"/>
        <v>14.888888888888889</v>
      </c>
      <c r="BL58" s="1">
        <f t="shared" si="127"/>
        <v>15.111111111111111</v>
      </c>
      <c r="BM58" s="1">
        <f t="shared" si="127"/>
        <v>15.333333333333334</v>
      </c>
      <c r="BN58" s="1">
        <f t="shared" si="127"/>
        <v>15.555555555555555</v>
      </c>
      <c r="BO58" s="1">
        <f t="shared" si="125"/>
        <v>15.777777777777779</v>
      </c>
      <c r="BP58" s="1">
        <f t="shared" si="125"/>
        <v>16</v>
      </c>
      <c r="BQ58" s="1">
        <f t="shared" si="123"/>
        <v>16.222222222222221</v>
      </c>
      <c r="BR58" s="1">
        <f t="shared" si="123"/>
        <v>16.444444444444443</v>
      </c>
      <c r="BS58" s="1">
        <f t="shared" si="123"/>
        <v>16.666666666666668</v>
      </c>
      <c r="BT58" s="1">
        <f t="shared" si="123"/>
        <v>16.888888888888889</v>
      </c>
      <c r="BU58" s="1">
        <f t="shared" si="123"/>
        <v>17.111111111111111</v>
      </c>
      <c r="BV58" s="1">
        <f t="shared" si="123"/>
        <v>17.333333333333332</v>
      </c>
      <c r="BW58" s="1">
        <f t="shared" si="123"/>
        <v>17.555555555555557</v>
      </c>
      <c r="BX58" s="1">
        <f t="shared" si="123"/>
        <v>17.777777777777779</v>
      </c>
      <c r="BY58" s="1">
        <f t="shared" si="123"/>
        <v>18</v>
      </c>
      <c r="BZ58" s="1">
        <f t="shared" si="123"/>
        <v>18.222222222222221</v>
      </c>
      <c r="CA58" s="1">
        <f t="shared" si="123"/>
        <v>18.444444444444443</v>
      </c>
      <c r="CB58" s="1">
        <f t="shared" si="123"/>
        <v>18.666666666666668</v>
      </c>
      <c r="CC58" s="1">
        <f t="shared" si="123"/>
        <v>18.888888888888889</v>
      </c>
      <c r="CD58" s="1">
        <f t="shared" si="123"/>
        <v>19.111111111111111</v>
      </c>
      <c r="CE58" s="1">
        <f t="shared" si="123"/>
        <v>19.333333333333332</v>
      </c>
      <c r="CF58" s="1">
        <f t="shared" si="124"/>
        <v>19.555555555555557</v>
      </c>
      <c r="CG58" s="1">
        <f t="shared" si="124"/>
        <v>19.777777777777779</v>
      </c>
      <c r="CH58" s="1">
        <f t="shared" si="124"/>
        <v>20</v>
      </c>
      <c r="CI58" s="1">
        <f t="shared" si="124"/>
        <v>20.222222222222221</v>
      </c>
      <c r="CJ58" s="1">
        <f t="shared" si="124"/>
        <v>20.444444444444443</v>
      </c>
      <c r="CK58" s="1">
        <f t="shared" si="124"/>
        <v>20.666666666666668</v>
      </c>
      <c r="CL58" s="1">
        <f t="shared" si="124"/>
        <v>20.888888888888889</v>
      </c>
      <c r="CM58" s="1">
        <f t="shared" si="124"/>
        <v>21.111111111111111</v>
      </c>
      <c r="CN58" s="1">
        <f t="shared" si="124"/>
        <v>21.333333333333332</v>
      </c>
      <c r="CO58" s="1">
        <f t="shared" si="124"/>
        <v>21.555555555555557</v>
      </c>
      <c r="CP58" s="1">
        <f t="shared" si="124"/>
        <v>21.777777777777779</v>
      </c>
      <c r="CQ58" s="1">
        <f t="shared" si="124"/>
        <v>22</v>
      </c>
      <c r="CR58" s="1">
        <f t="shared" si="124"/>
        <v>22.222222222222221</v>
      </c>
      <c r="CS58" s="1">
        <f t="shared" si="124"/>
        <v>22.444444444444443</v>
      </c>
      <c r="CT58" s="1">
        <f t="shared" si="124"/>
        <v>22.666666666666668</v>
      </c>
      <c r="CU58" s="1">
        <f t="shared" si="124"/>
        <v>22.888888888888889</v>
      </c>
      <c r="CV58" s="1">
        <f t="shared" si="122"/>
        <v>23.111111111111111</v>
      </c>
      <c r="CW58" s="1">
        <f t="shared" si="122"/>
        <v>23.333333333333332</v>
      </c>
      <c r="CX58" s="1">
        <f t="shared" si="122"/>
        <v>23.555555555555557</v>
      </c>
      <c r="CY58" s="1">
        <f t="shared" si="122"/>
        <v>23.777777777777779</v>
      </c>
      <c r="CZ58" s="1">
        <f t="shared" si="122"/>
        <v>24</v>
      </c>
      <c r="DA58" s="1">
        <f t="shared" si="122"/>
        <v>24.222222222222221</v>
      </c>
      <c r="DB58" s="1">
        <f t="shared" si="122"/>
        <v>24.444444444444443</v>
      </c>
      <c r="DC58" s="1">
        <f t="shared" si="122"/>
        <v>24.666666666666668</v>
      </c>
      <c r="DD58" s="1">
        <f t="shared" si="122"/>
        <v>24.888888888888889</v>
      </c>
      <c r="DE58" s="1">
        <f t="shared" si="122"/>
        <v>25.111111111111111</v>
      </c>
      <c r="DF58" s="1">
        <f t="shared" si="122"/>
        <v>25.333333333333332</v>
      </c>
      <c r="DG58" s="1">
        <f t="shared" si="122"/>
        <v>25.555555555555557</v>
      </c>
      <c r="DH58" s="1">
        <f t="shared" si="122"/>
        <v>25.777777777777779</v>
      </c>
      <c r="DI58" s="1">
        <f t="shared" si="122"/>
        <v>26</v>
      </c>
      <c r="DJ58" s="1">
        <f t="shared" si="121"/>
        <v>26.222222222222221</v>
      </c>
      <c r="DK58" s="1">
        <f t="shared" si="121"/>
        <v>26.444444444444443</v>
      </c>
      <c r="DL58" s="1">
        <f t="shared" si="115"/>
        <v>26.666666666666668</v>
      </c>
      <c r="DM58" s="1">
        <f t="shared" si="113"/>
        <v>26.888888888888889</v>
      </c>
      <c r="DN58" s="1">
        <f t="shared" si="113"/>
        <v>27.111111111111111</v>
      </c>
      <c r="DO58" s="1">
        <f t="shared" si="113"/>
        <v>27.333333333333332</v>
      </c>
      <c r="DP58" s="1">
        <f t="shared" si="113"/>
        <v>27.555555555555557</v>
      </c>
      <c r="DQ58" s="1">
        <f t="shared" si="113"/>
        <v>27.777777777777779</v>
      </c>
      <c r="DR58" s="1">
        <f t="shared" si="113"/>
        <v>28</v>
      </c>
      <c r="DS58" s="1">
        <f t="shared" si="113"/>
        <v>28.222222222222221</v>
      </c>
    </row>
    <row r="59" spans="1:123" x14ac:dyDescent="0.3">
      <c r="A59" s="81"/>
      <c r="B59" s="13" t="str">
        <f t="shared" si="99"/>
        <v>0x2E</v>
      </c>
      <c r="C59" s="12">
        <f t="shared" si="101"/>
        <v>46</v>
      </c>
      <c r="D59" s="1">
        <f t="shared" si="128"/>
        <v>1.7391304347826086</v>
      </c>
      <c r="E59" s="1">
        <f t="shared" si="128"/>
        <v>1.9565217391304348</v>
      </c>
      <c r="F59" s="1">
        <f t="shared" si="128"/>
        <v>2.1739130434782608</v>
      </c>
      <c r="G59" s="1">
        <f t="shared" si="128"/>
        <v>2.3913043478260869</v>
      </c>
      <c r="H59" s="1">
        <f t="shared" si="128"/>
        <v>2.6086956521739131</v>
      </c>
      <c r="I59" s="1">
        <f t="shared" si="128"/>
        <v>2.8260869565217392</v>
      </c>
      <c r="J59" s="1">
        <f t="shared" si="128"/>
        <v>3.0434782608695654</v>
      </c>
      <c r="K59" s="1">
        <f t="shared" si="128"/>
        <v>3.2608695652173911</v>
      </c>
      <c r="L59" s="1">
        <f t="shared" si="128"/>
        <v>3.4782608695652173</v>
      </c>
      <c r="M59" s="1">
        <f t="shared" si="128"/>
        <v>3.6956521739130435</v>
      </c>
      <c r="N59" s="1">
        <f t="shared" si="128"/>
        <v>3.9130434782608696</v>
      </c>
      <c r="O59" s="1">
        <f t="shared" si="128"/>
        <v>4.1304347826086953</v>
      </c>
      <c r="P59" s="1">
        <f t="shared" si="128"/>
        <v>4.3478260869565215</v>
      </c>
      <c r="Q59" s="1">
        <f t="shared" si="128"/>
        <v>4.5652173913043477</v>
      </c>
      <c r="R59" s="1">
        <f t="shared" si="128"/>
        <v>4.7826086956521738</v>
      </c>
      <c r="S59" s="1">
        <f t="shared" si="128"/>
        <v>5</v>
      </c>
      <c r="T59" s="1">
        <f t="shared" si="126"/>
        <v>5.2173913043478262</v>
      </c>
      <c r="U59" s="1">
        <f t="shared" si="126"/>
        <v>5.4347826086956523</v>
      </c>
      <c r="V59" s="1">
        <f t="shared" si="126"/>
        <v>5.6521739130434785</v>
      </c>
      <c r="W59" s="1">
        <f t="shared" si="126"/>
        <v>5.8695652173913047</v>
      </c>
      <c r="X59" s="1">
        <f t="shared" si="126"/>
        <v>6.0869565217391308</v>
      </c>
      <c r="Y59" s="1">
        <f t="shared" si="126"/>
        <v>6.3043478260869561</v>
      </c>
      <c r="Z59" s="1">
        <f t="shared" si="126"/>
        <v>6.5217391304347823</v>
      </c>
      <c r="AA59" s="1">
        <f t="shared" si="126"/>
        <v>6.7391304347826084</v>
      </c>
      <c r="AB59" s="1">
        <f t="shared" si="126"/>
        <v>6.9565217391304346</v>
      </c>
      <c r="AC59" s="1">
        <f t="shared" si="126"/>
        <v>7.1739130434782608</v>
      </c>
      <c r="AD59" s="1">
        <f t="shared" si="126"/>
        <v>7.3913043478260869</v>
      </c>
      <c r="AE59" s="1">
        <f t="shared" si="126"/>
        <v>7.6086956521739131</v>
      </c>
      <c r="AF59" s="1">
        <f t="shared" si="126"/>
        <v>7.8260869565217392</v>
      </c>
      <c r="AG59" s="1">
        <f t="shared" si="126"/>
        <v>8.0434782608695645</v>
      </c>
      <c r="AH59" s="1">
        <f t="shared" si="126"/>
        <v>8.2608695652173907</v>
      </c>
      <c r="AI59" s="1">
        <f t="shared" si="130"/>
        <v>8.4782608695652169</v>
      </c>
      <c r="AJ59" s="1">
        <f t="shared" si="130"/>
        <v>8.695652173913043</v>
      </c>
      <c r="AK59" s="1">
        <f t="shared" si="130"/>
        <v>8.9130434782608692</v>
      </c>
      <c r="AL59" s="1">
        <f t="shared" si="130"/>
        <v>9.1304347826086953</v>
      </c>
      <c r="AM59" s="1">
        <f t="shared" si="130"/>
        <v>9.3478260869565215</v>
      </c>
      <c r="AN59" s="1">
        <f t="shared" si="130"/>
        <v>9.5652173913043477</v>
      </c>
      <c r="AO59" s="1">
        <f t="shared" si="130"/>
        <v>9.7826086956521738</v>
      </c>
      <c r="AP59" s="1">
        <f t="shared" si="130"/>
        <v>10</v>
      </c>
      <c r="AQ59" s="1">
        <f t="shared" si="130"/>
        <v>10.217391304347826</v>
      </c>
      <c r="AR59" s="1">
        <f t="shared" si="130"/>
        <v>10.434782608695652</v>
      </c>
      <c r="AS59" s="1">
        <f t="shared" si="130"/>
        <v>10.652173913043478</v>
      </c>
      <c r="AT59" s="1">
        <f t="shared" si="130"/>
        <v>10.869565217391305</v>
      </c>
      <c r="AU59" s="1">
        <f t="shared" si="130"/>
        <v>11.086956521739131</v>
      </c>
      <c r="AV59" s="1">
        <f t="shared" si="130"/>
        <v>11.304347826086957</v>
      </c>
      <c r="AW59" s="1">
        <f t="shared" si="130"/>
        <v>11.521739130434783</v>
      </c>
      <c r="AX59" s="1">
        <f t="shared" si="130"/>
        <v>11.739130434782609</v>
      </c>
      <c r="AY59" s="1">
        <f t="shared" si="129"/>
        <v>11.956521739130435</v>
      </c>
      <c r="AZ59" s="1">
        <f t="shared" si="129"/>
        <v>12.173913043478262</v>
      </c>
      <c r="BA59" s="1">
        <f t="shared" si="129"/>
        <v>12.391304347826088</v>
      </c>
      <c r="BB59" s="1">
        <f t="shared" si="129"/>
        <v>12.608695652173912</v>
      </c>
      <c r="BC59" s="1">
        <f t="shared" si="127"/>
        <v>12.826086956521738</v>
      </c>
      <c r="BD59" s="1">
        <f t="shared" si="127"/>
        <v>13.043478260869565</v>
      </c>
      <c r="BE59" s="1">
        <f t="shared" si="127"/>
        <v>13.260869565217391</v>
      </c>
      <c r="BF59" s="1">
        <f t="shared" si="127"/>
        <v>13.478260869565217</v>
      </c>
      <c r="BG59" s="1">
        <f t="shared" si="127"/>
        <v>13.695652173913043</v>
      </c>
      <c r="BH59" s="1">
        <f t="shared" si="127"/>
        <v>13.913043478260869</v>
      </c>
      <c r="BI59" s="1">
        <f t="shared" si="127"/>
        <v>14.130434782608695</v>
      </c>
      <c r="BJ59" s="1">
        <f t="shared" si="127"/>
        <v>14.347826086956522</v>
      </c>
      <c r="BK59" s="1">
        <f t="shared" si="127"/>
        <v>14.565217391304348</v>
      </c>
      <c r="BL59" s="1">
        <f t="shared" si="127"/>
        <v>14.782608695652174</v>
      </c>
      <c r="BM59" s="1">
        <f t="shared" si="127"/>
        <v>15</v>
      </c>
      <c r="BN59" s="1">
        <f t="shared" si="127"/>
        <v>15.217391304347826</v>
      </c>
      <c r="BO59" s="1">
        <f t="shared" si="125"/>
        <v>15.434782608695652</v>
      </c>
      <c r="BP59" s="1">
        <f t="shared" si="125"/>
        <v>15.652173913043478</v>
      </c>
      <c r="BQ59" s="1">
        <f t="shared" si="123"/>
        <v>15.869565217391305</v>
      </c>
      <c r="BR59" s="1">
        <f t="shared" si="123"/>
        <v>16.086956521739129</v>
      </c>
      <c r="BS59" s="1">
        <f t="shared" si="123"/>
        <v>16.304347826086957</v>
      </c>
      <c r="BT59" s="1">
        <f t="shared" si="123"/>
        <v>16.521739130434781</v>
      </c>
      <c r="BU59" s="1">
        <f t="shared" si="123"/>
        <v>16.739130434782609</v>
      </c>
      <c r="BV59" s="1">
        <f t="shared" si="123"/>
        <v>16.956521739130434</v>
      </c>
      <c r="BW59" s="1">
        <f t="shared" si="123"/>
        <v>17.173913043478262</v>
      </c>
      <c r="BX59" s="1">
        <f t="shared" si="123"/>
        <v>17.391304347826086</v>
      </c>
      <c r="BY59" s="1">
        <f t="shared" si="123"/>
        <v>17.608695652173914</v>
      </c>
      <c r="BZ59" s="1">
        <f t="shared" si="123"/>
        <v>17.826086956521738</v>
      </c>
      <c r="CA59" s="1">
        <f t="shared" si="123"/>
        <v>18.043478260869566</v>
      </c>
      <c r="CB59" s="1">
        <f t="shared" si="123"/>
        <v>18.260869565217391</v>
      </c>
      <c r="CC59" s="1">
        <f t="shared" si="123"/>
        <v>18.478260869565219</v>
      </c>
      <c r="CD59" s="1">
        <f t="shared" si="123"/>
        <v>18.695652173913043</v>
      </c>
      <c r="CE59" s="1">
        <f t="shared" si="123"/>
        <v>18.913043478260871</v>
      </c>
      <c r="CF59" s="1">
        <f t="shared" si="124"/>
        <v>19.130434782608695</v>
      </c>
      <c r="CG59" s="1">
        <f t="shared" si="124"/>
        <v>19.347826086956523</v>
      </c>
      <c r="CH59" s="1">
        <f t="shared" si="124"/>
        <v>19.565217391304348</v>
      </c>
      <c r="CI59" s="1">
        <f t="shared" si="124"/>
        <v>19.782608695652176</v>
      </c>
      <c r="CJ59" s="1">
        <f t="shared" si="124"/>
        <v>20</v>
      </c>
      <c r="CK59" s="1">
        <f t="shared" si="124"/>
        <v>20.217391304347824</v>
      </c>
      <c r="CL59" s="1">
        <f t="shared" si="124"/>
        <v>20.434782608695652</v>
      </c>
      <c r="CM59" s="1">
        <f t="shared" si="124"/>
        <v>20.652173913043477</v>
      </c>
      <c r="CN59" s="1">
        <f t="shared" si="124"/>
        <v>20.869565217391305</v>
      </c>
      <c r="CO59" s="1">
        <f t="shared" si="124"/>
        <v>21.086956521739129</v>
      </c>
      <c r="CP59" s="1">
        <f t="shared" si="124"/>
        <v>21.304347826086957</v>
      </c>
      <c r="CQ59" s="1">
        <f t="shared" si="124"/>
        <v>21.521739130434781</v>
      </c>
      <c r="CR59" s="1">
        <f t="shared" si="124"/>
        <v>21.739130434782609</v>
      </c>
      <c r="CS59" s="1">
        <f t="shared" si="124"/>
        <v>21.956521739130434</v>
      </c>
      <c r="CT59" s="1">
        <f t="shared" si="124"/>
        <v>22.173913043478262</v>
      </c>
      <c r="CU59" s="1">
        <f t="shared" si="124"/>
        <v>22.391304347826086</v>
      </c>
      <c r="CV59" s="1">
        <f t="shared" si="122"/>
        <v>22.608695652173914</v>
      </c>
      <c r="CW59" s="1">
        <f t="shared" si="122"/>
        <v>22.826086956521738</v>
      </c>
      <c r="CX59" s="1">
        <f t="shared" si="122"/>
        <v>23.043478260869566</v>
      </c>
      <c r="CY59" s="1">
        <f t="shared" si="122"/>
        <v>23.260869565217391</v>
      </c>
      <c r="CZ59" s="1">
        <f t="shared" si="122"/>
        <v>23.478260869565219</v>
      </c>
      <c r="DA59" s="1">
        <f t="shared" si="122"/>
        <v>23.695652173913043</v>
      </c>
      <c r="DB59" s="1">
        <f t="shared" si="122"/>
        <v>23.913043478260871</v>
      </c>
      <c r="DC59" s="1">
        <f t="shared" si="122"/>
        <v>24.130434782608695</v>
      </c>
      <c r="DD59" s="1">
        <f t="shared" si="122"/>
        <v>24.347826086956523</v>
      </c>
      <c r="DE59" s="1">
        <f t="shared" si="122"/>
        <v>24.565217391304348</v>
      </c>
      <c r="DF59" s="1">
        <f t="shared" si="122"/>
        <v>24.782608695652176</v>
      </c>
      <c r="DG59" s="1">
        <f t="shared" si="122"/>
        <v>25</v>
      </c>
      <c r="DH59" s="1">
        <f t="shared" si="122"/>
        <v>25.217391304347824</v>
      </c>
      <c r="DI59" s="1">
        <f t="shared" si="122"/>
        <v>25.434782608695652</v>
      </c>
      <c r="DJ59" s="1">
        <f t="shared" si="121"/>
        <v>25.652173913043477</v>
      </c>
      <c r="DK59" s="1">
        <f t="shared" si="121"/>
        <v>25.869565217391305</v>
      </c>
      <c r="DL59" s="1">
        <f t="shared" si="115"/>
        <v>26.086956521739129</v>
      </c>
      <c r="DM59" s="1">
        <f t="shared" si="113"/>
        <v>26.304347826086957</v>
      </c>
      <c r="DN59" s="1">
        <f t="shared" si="113"/>
        <v>26.521739130434781</v>
      </c>
      <c r="DO59" s="1">
        <f t="shared" si="113"/>
        <v>26.739130434782609</v>
      </c>
      <c r="DP59" s="1">
        <f t="shared" si="113"/>
        <v>26.956521739130434</v>
      </c>
      <c r="DQ59" s="1">
        <f t="shared" si="113"/>
        <v>27.173913043478262</v>
      </c>
      <c r="DR59" s="1">
        <f t="shared" si="113"/>
        <v>27.391304347826086</v>
      </c>
      <c r="DS59" s="1">
        <f t="shared" si="113"/>
        <v>27.608695652173914</v>
      </c>
    </row>
    <row r="60" spans="1:123" x14ac:dyDescent="0.3">
      <c r="A60" s="81"/>
      <c r="B60" s="13" t="str">
        <f t="shared" si="99"/>
        <v>0x2F</v>
      </c>
      <c r="C60" s="12">
        <f t="shared" si="101"/>
        <v>47</v>
      </c>
      <c r="D60" s="1">
        <f t="shared" si="128"/>
        <v>1.7021276595744681</v>
      </c>
      <c r="E60" s="1">
        <f t="shared" si="128"/>
        <v>1.9148936170212767</v>
      </c>
      <c r="F60" s="1">
        <f t="shared" si="128"/>
        <v>2.1276595744680851</v>
      </c>
      <c r="G60" s="1">
        <f t="shared" si="128"/>
        <v>2.3404255319148937</v>
      </c>
      <c r="H60" s="1">
        <f t="shared" si="128"/>
        <v>2.5531914893617023</v>
      </c>
      <c r="I60" s="1">
        <f t="shared" si="128"/>
        <v>2.7659574468085109</v>
      </c>
      <c r="J60" s="1">
        <f t="shared" si="128"/>
        <v>2.978723404255319</v>
      </c>
      <c r="K60" s="1">
        <f t="shared" si="128"/>
        <v>3.1914893617021276</v>
      </c>
      <c r="L60" s="1">
        <f t="shared" si="128"/>
        <v>3.4042553191489362</v>
      </c>
      <c r="M60" s="1">
        <f t="shared" si="128"/>
        <v>3.6170212765957448</v>
      </c>
      <c r="N60" s="1">
        <f t="shared" si="128"/>
        <v>3.8297872340425534</v>
      </c>
      <c r="O60" s="1">
        <f t="shared" si="128"/>
        <v>4.042553191489362</v>
      </c>
      <c r="P60" s="1">
        <f t="shared" si="128"/>
        <v>4.2553191489361701</v>
      </c>
      <c r="Q60" s="1">
        <f t="shared" si="128"/>
        <v>4.4680851063829783</v>
      </c>
      <c r="R60" s="1">
        <f t="shared" si="128"/>
        <v>4.6808510638297873</v>
      </c>
      <c r="S60" s="1">
        <f t="shared" si="128"/>
        <v>4.8936170212765955</v>
      </c>
      <c r="T60" s="1">
        <f t="shared" si="126"/>
        <v>5.1063829787234045</v>
      </c>
      <c r="U60" s="1">
        <f t="shared" si="126"/>
        <v>5.3191489361702127</v>
      </c>
      <c r="V60" s="1">
        <f t="shared" si="126"/>
        <v>5.5319148936170217</v>
      </c>
      <c r="W60" s="1">
        <f t="shared" si="126"/>
        <v>5.7446808510638299</v>
      </c>
      <c r="X60" s="1">
        <f t="shared" si="126"/>
        <v>5.957446808510638</v>
      </c>
      <c r="Y60" s="1">
        <f t="shared" si="126"/>
        <v>6.1702127659574471</v>
      </c>
      <c r="Z60" s="1">
        <f t="shared" si="126"/>
        <v>6.3829787234042552</v>
      </c>
      <c r="AA60" s="1">
        <f t="shared" si="126"/>
        <v>6.5957446808510642</v>
      </c>
      <c r="AB60" s="1">
        <f t="shared" si="126"/>
        <v>6.8085106382978724</v>
      </c>
      <c r="AC60" s="1">
        <f t="shared" si="126"/>
        <v>7.0212765957446805</v>
      </c>
      <c r="AD60" s="1">
        <f t="shared" si="126"/>
        <v>7.2340425531914896</v>
      </c>
      <c r="AE60" s="1">
        <f t="shared" si="126"/>
        <v>7.4468085106382977</v>
      </c>
      <c r="AF60" s="1">
        <f t="shared" si="126"/>
        <v>7.6595744680851068</v>
      </c>
      <c r="AG60" s="1">
        <f t="shared" si="126"/>
        <v>7.8723404255319149</v>
      </c>
      <c r="AH60" s="1">
        <f t="shared" si="126"/>
        <v>8.085106382978724</v>
      </c>
      <c r="AI60" s="1">
        <f t="shared" si="130"/>
        <v>8.2978723404255312</v>
      </c>
      <c r="AJ60" s="1">
        <f t="shared" si="130"/>
        <v>8.5106382978723403</v>
      </c>
      <c r="AK60" s="1">
        <f t="shared" si="130"/>
        <v>8.7234042553191493</v>
      </c>
      <c r="AL60" s="1">
        <f t="shared" si="130"/>
        <v>8.9361702127659566</v>
      </c>
      <c r="AM60" s="1">
        <f t="shared" si="130"/>
        <v>9.1489361702127656</v>
      </c>
      <c r="AN60" s="1">
        <f t="shared" si="130"/>
        <v>9.3617021276595747</v>
      </c>
      <c r="AO60" s="1">
        <f t="shared" si="130"/>
        <v>9.5744680851063837</v>
      </c>
      <c r="AP60" s="1">
        <f t="shared" si="130"/>
        <v>9.787234042553191</v>
      </c>
      <c r="AQ60" s="1">
        <f t="shared" si="130"/>
        <v>10</v>
      </c>
      <c r="AR60" s="1">
        <f t="shared" si="130"/>
        <v>10.212765957446809</v>
      </c>
      <c r="AS60" s="1">
        <f t="shared" si="130"/>
        <v>10.425531914893616</v>
      </c>
      <c r="AT60" s="1">
        <f t="shared" si="130"/>
        <v>10.638297872340425</v>
      </c>
      <c r="AU60" s="1">
        <f t="shared" si="130"/>
        <v>10.851063829787234</v>
      </c>
      <c r="AV60" s="1">
        <f t="shared" si="130"/>
        <v>11.063829787234043</v>
      </c>
      <c r="AW60" s="1">
        <f t="shared" si="130"/>
        <v>11.276595744680851</v>
      </c>
      <c r="AX60" s="1">
        <f t="shared" si="130"/>
        <v>11.48936170212766</v>
      </c>
      <c r="AY60" s="1">
        <f t="shared" si="129"/>
        <v>11.702127659574469</v>
      </c>
      <c r="AZ60" s="1">
        <f t="shared" si="129"/>
        <v>11.914893617021276</v>
      </c>
      <c r="BA60" s="1">
        <f t="shared" si="129"/>
        <v>12.127659574468085</v>
      </c>
      <c r="BB60" s="1">
        <f t="shared" si="129"/>
        <v>12.340425531914894</v>
      </c>
      <c r="BC60" s="1">
        <f t="shared" si="127"/>
        <v>12.553191489361701</v>
      </c>
      <c r="BD60" s="1">
        <f t="shared" si="127"/>
        <v>12.76595744680851</v>
      </c>
      <c r="BE60" s="1">
        <f t="shared" si="127"/>
        <v>12.978723404255319</v>
      </c>
      <c r="BF60" s="1">
        <f t="shared" si="127"/>
        <v>13.191489361702128</v>
      </c>
      <c r="BG60" s="1">
        <f t="shared" si="127"/>
        <v>13.404255319148936</v>
      </c>
      <c r="BH60" s="1">
        <f t="shared" si="127"/>
        <v>13.617021276595745</v>
      </c>
      <c r="BI60" s="1">
        <f t="shared" si="127"/>
        <v>13.829787234042554</v>
      </c>
      <c r="BJ60" s="1">
        <f t="shared" si="127"/>
        <v>14.042553191489361</v>
      </c>
      <c r="BK60" s="1">
        <f t="shared" si="127"/>
        <v>14.25531914893617</v>
      </c>
      <c r="BL60" s="1">
        <f t="shared" si="127"/>
        <v>14.468085106382979</v>
      </c>
      <c r="BM60" s="1">
        <f t="shared" si="127"/>
        <v>14.680851063829786</v>
      </c>
      <c r="BN60" s="1">
        <f t="shared" si="127"/>
        <v>14.893617021276595</v>
      </c>
      <c r="BO60" s="1">
        <f t="shared" si="125"/>
        <v>15.106382978723405</v>
      </c>
      <c r="BP60" s="1">
        <f t="shared" si="125"/>
        <v>15.319148936170214</v>
      </c>
      <c r="BQ60" s="1">
        <f t="shared" si="123"/>
        <v>15.531914893617021</v>
      </c>
      <c r="BR60" s="1">
        <f t="shared" si="123"/>
        <v>15.74468085106383</v>
      </c>
      <c r="BS60" s="1">
        <f t="shared" si="123"/>
        <v>15.957446808510639</v>
      </c>
      <c r="BT60" s="1">
        <f t="shared" si="123"/>
        <v>16.170212765957448</v>
      </c>
      <c r="BU60" s="1">
        <f t="shared" si="123"/>
        <v>16.382978723404257</v>
      </c>
      <c r="BV60" s="1">
        <f t="shared" si="123"/>
        <v>16.595744680851062</v>
      </c>
      <c r="BW60" s="1">
        <f t="shared" si="123"/>
        <v>16.808510638297872</v>
      </c>
      <c r="BX60" s="1">
        <f t="shared" si="123"/>
        <v>17.021276595744681</v>
      </c>
      <c r="BY60" s="1">
        <f t="shared" si="123"/>
        <v>17.23404255319149</v>
      </c>
      <c r="BZ60" s="1">
        <f t="shared" si="123"/>
        <v>17.446808510638299</v>
      </c>
      <c r="CA60" s="1">
        <f t="shared" si="123"/>
        <v>17.659574468085108</v>
      </c>
      <c r="CB60" s="1">
        <f t="shared" si="123"/>
        <v>17.872340425531913</v>
      </c>
      <c r="CC60" s="1">
        <f t="shared" si="123"/>
        <v>18.085106382978722</v>
      </c>
      <c r="CD60" s="1">
        <f t="shared" si="123"/>
        <v>18.297872340425531</v>
      </c>
      <c r="CE60" s="1">
        <f t="shared" si="123"/>
        <v>18.51063829787234</v>
      </c>
      <c r="CF60" s="1">
        <f t="shared" si="124"/>
        <v>18.723404255319149</v>
      </c>
      <c r="CG60" s="1">
        <f t="shared" si="124"/>
        <v>18.936170212765958</v>
      </c>
      <c r="CH60" s="1">
        <f t="shared" si="124"/>
        <v>19.148936170212767</v>
      </c>
      <c r="CI60" s="1">
        <f t="shared" si="124"/>
        <v>19.361702127659573</v>
      </c>
      <c r="CJ60" s="1">
        <f t="shared" si="124"/>
        <v>19.574468085106382</v>
      </c>
      <c r="CK60" s="1">
        <f t="shared" si="124"/>
        <v>19.787234042553191</v>
      </c>
      <c r="CL60" s="1">
        <f t="shared" si="124"/>
        <v>20</v>
      </c>
      <c r="CM60" s="1">
        <f t="shared" si="124"/>
        <v>20.212765957446809</v>
      </c>
      <c r="CN60" s="1">
        <f t="shared" si="124"/>
        <v>20.425531914893618</v>
      </c>
      <c r="CO60" s="1">
        <f t="shared" si="124"/>
        <v>20.638297872340427</v>
      </c>
      <c r="CP60" s="1">
        <f t="shared" si="124"/>
        <v>20.851063829787233</v>
      </c>
      <c r="CQ60" s="1">
        <f t="shared" si="124"/>
        <v>21.063829787234042</v>
      </c>
      <c r="CR60" s="1">
        <f t="shared" si="124"/>
        <v>21.276595744680851</v>
      </c>
      <c r="CS60" s="1">
        <f t="shared" si="124"/>
        <v>21.48936170212766</v>
      </c>
      <c r="CT60" s="1">
        <f t="shared" si="124"/>
        <v>21.702127659574469</v>
      </c>
      <c r="CU60" s="1">
        <f t="shared" si="124"/>
        <v>21.914893617021278</v>
      </c>
      <c r="CV60" s="1">
        <f t="shared" si="122"/>
        <v>22.127659574468087</v>
      </c>
      <c r="CW60" s="1">
        <f t="shared" si="122"/>
        <v>22.340425531914892</v>
      </c>
      <c r="CX60" s="1">
        <f t="shared" si="122"/>
        <v>22.553191489361701</v>
      </c>
      <c r="CY60" s="1">
        <f t="shared" si="122"/>
        <v>22.76595744680851</v>
      </c>
      <c r="CZ60" s="1">
        <f t="shared" si="122"/>
        <v>22.978723404255319</v>
      </c>
      <c r="DA60" s="1">
        <f t="shared" si="122"/>
        <v>23.191489361702128</v>
      </c>
      <c r="DB60" s="1">
        <f t="shared" si="122"/>
        <v>23.404255319148938</v>
      </c>
      <c r="DC60" s="1">
        <f t="shared" si="122"/>
        <v>23.617021276595743</v>
      </c>
      <c r="DD60" s="1">
        <f t="shared" si="122"/>
        <v>23.829787234042552</v>
      </c>
      <c r="DE60" s="1">
        <f t="shared" si="122"/>
        <v>24.042553191489361</v>
      </c>
      <c r="DF60" s="1">
        <f t="shared" si="122"/>
        <v>24.25531914893617</v>
      </c>
      <c r="DG60" s="1">
        <f t="shared" si="122"/>
        <v>24.468085106382979</v>
      </c>
      <c r="DH60" s="1">
        <f t="shared" si="122"/>
        <v>24.680851063829788</v>
      </c>
      <c r="DI60" s="1">
        <f t="shared" si="122"/>
        <v>24.893617021276597</v>
      </c>
      <c r="DJ60" s="1">
        <f t="shared" si="121"/>
        <v>25.106382978723403</v>
      </c>
      <c r="DK60" s="1">
        <f t="shared" si="121"/>
        <v>25.319148936170212</v>
      </c>
      <c r="DL60" s="1">
        <f t="shared" si="115"/>
        <v>25.531914893617021</v>
      </c>
      <c r="DM60" s="1">
        <f t="shared" si="113"/>
        <v>25.74468085106383</v>
      </c>
      <c r="DN60" s="1">
        <f t="shared" si="113"/>
        <v>25.957446808510639</v>
      </c>
      <c r="DO60" s="1">
        <f t="shared" si="113"/>
        <v>26.170212765957448</v>
      </c>
      <c r="DP60" s="1">
        <f t="shared" si="113"/>
        <v>26.382978723404257</v>
      </c>
      <c r="DQ60" s="1">
        <f t="shared" si="113"/>
        <v>26.595744680851062</v>
      </c>
      <c r="DR60" s="1">
        <f t="shared" si="113"/>
        <v>26.808510638297872</v>
      </c>
      <c r="DS60" s="1">
        <f t="shared" si="113"/>
        <v>27.021276595744681</v>
      </c>
    </row>
    <row r="61" spans="1:123" x14ac:dyDescent="0.3">
      <c r="A61" s="81"/>
      <c r="B61" s="13" t="str">
        <f t="shared" si="99"/>
        <v>0x30</v>
      </c>
      <c r="C61" s="12">
        <f t="shared" si="101"/>
        <v>48</v>
      </c>
      <c r="D61" s="1">
        <f t="shared" si="128"/>
        <v>1.6666666666666667</v>
      </c>
      <c r="E61" s="1">
        <f t="shared" si="128"/>
        <v>1.875</v>
      </c>
      <c r="F61" s="1">
        <f t="shared" si="128"/>
        <v>2.0833333333333335</v>
      </c>
      <c r="G61" s="1">
        <f t="shared" si="128"/>
        <v>2.2916666666666665</v>
      </c>
      <c r="H61" s="1">
        <f t="shared" si="128"/>
        <v>2.5</v>
      </c>
      <c r="I61" s="1">
        <f t="shared" si="128"/>
        <v>2.7083333333333335</v>
      </c>
      <c r="J61" s="1">
        <f t="shared" si="128"/>
        <v>2.9166666666666665</v>
      </c>
      <c r="K61" s="1">
        <f t="shared" si="128"/>
        <v>3.125</v>
      </c>
      <c r="L61" s="1">
        <f t="shared" si="128"/>
        <v>3.3333333333333335</v>
      </c>
      <c r="M61" s="1">
        <f t="shared" si="128"/>
        <v>3.5416666666666665</v>
      </c>
      <c r="N61" s="1">
        <f t="shared" si="128"/>
        <v>3.75</v>
      </c>
      <c r="O61" s="1">
        <f t="shared" si="128"/>
        <v>3.9583333333333335</v>
      </c>
      <c r="P61" s="1">
        <f t="shared" si="128"/>
        <v>4.166666666666667</v>
      </c>
      <c r="Q61" s="1">
        <f t="shared" si="128"/>
        <v>4.375</v>
      </c>
      <c r="R61" s="1">
        <f t="shared" si="128"/>
        <v>4.583333333333333</v>
      </c>
      <c r="S61" s="1">
        <f t="shared" si="128"/>
        <v>4.791666666666667</v>
      </c>
      <c r="T61" s="1">
        <f t="shared" si="126"/>
        <v>5</v>
      </c>
      <c r="U61" s="1">
        <f t="shared" si="126"/>
        <v>5.208333333333333</v>
      </c>
      <c r="V61" s="1">
        <f t="shared" si="126"/>
        <v>5.416666666666667</v>
      </c>
      <c r="W61" s="1">
        <f t="shared" si="126"/>
        <v>5.625</v>
      </c>
      <c r="X61" s="1">
        <f t="shared" si="126"/>
        <v>5.833333333333333</v>
      </c>
      <c r="Y61" s="1">
        <f t="shared" si="126"/>
        <v>6.041666666666667</v>
      </c>
      <c r="Z61" s="1">
        <f t="shared" si="126"/>
        <v>6.25</v>
      </c>
      <c r="AA61" s="1">
        <f t="shared" si="126"/>
        <v>6.458333333333333</v>
      </c>
      <c r="AB61" s="1">
        <f t="shared" si="126"/>
        <v>6.666666666666667</v>
      </c>
      <c r="AC61" s="1">
        <f t="shared" si="126"/>
        <v>6.875</v>
      </c>
      <c r="AD61" s="1">
        <f t="shared" si="126"/>
        <v>7.083333333333333</v>
      </c>
      <c r="AE61" s="1">
        <f t="shared" si="126"/>
        <v>7.291666666666667</v>
      </c>
      <c r="AF61" s="1">
        <f t="shared" si="126"/>
        <v>7.5</v>
      </c>
      <c r="AG61" s="1">
        <f t="shared" si="126"/>
        <v>7.708333333333333</v>
      </c>
      <c r="AH61" s="1">
        <f t="shared" si="126"/>
        <v>7.916666666666667</v>
      </c>
      <c r="AI61" s="1">
        <f t="shared" si="130"/>
        <v>8.125</v>
      </c>
      <c r="AJ61" s="1">
        <f t="shared" si="130"/>
        <v>8.3333333333333339</v>
      </c>
      <c r="AK61" s="1">
        <f t="shared" si="130"/>
        <v>8.5416666666666661</v>
      </c>
      <c r="AL61" s="1">
        <f t="shared" si="130"/>
        <v>8.75</v>
      </c>
      <c r="AM61" s="1">
        <f t="shared" si="130"/>
        <v>8.9583333333333339</v>
      </c>
      <c r="AN61" s="1">
        <f t="shared" si="130"/>
        <v>9.1666666666666661</v>
      </c>
      <c r="AO61" s="1">
        <f t="shared" si="130"/>
        <v>9.375</v>
      </c>
      <c r="AP61" s="1">
        <f t="shared" si="130"/>
        <v>9.5833333333333339</v>
      </c>
      <c r="AQ61" s="1">
        <f t="shared" si="130"/>
        <v>9.7916666666666661</v>
      </c>
      <c r="AR61" s="1">
        <f t="shared" si="130"/>
        <v>10</v>
      </c>
      <c r="AS61" s="1">
        <f t="shared" si="130"/>
        <v>10.208333333333334</v>
      </c>
      <c r="AT61" s="1">
        <f t="shared" si="130"/>
        <v>10.416666666666666</v>
      </c>
      <c r="AU61" s="1">
        <f t="shared" si="130"/>
        <v>10.625</v>
      </c>
      <c r="AV61" s="1">
        <f t="shared" si="130"/>
        <v>10.833333333333334</v>
      </c>
      <c r="AW61" s="1">
        <f t="shared" si="130"/>
        <v>11.041666666666666</v>
      </c>
      <c r="AX61" s="1">
        <f t="shared" si="130"/>
        <v>11.25</v>
      </c>
      <c r="AY61" s="1">
        <f t="shared" si="129"/>
        <v>11.458333333333334</v>
      </c>
      <c r="AZ61" s="1">
        <f t="shared" si="129"/>
        <v>11.666666666666666</v>
      </c>
      <c r="BA61" s="1">
        <f t="shared" si="129"/>
        <v>11.875</v>
      </c>
      <c r="BB61" s="1">
        <f t="shared" si="129"/>
        <v>12.083333333333334</v>
      </c>
      <c r="BC61" s="1">
        <f t="shared" si="127"/>
        <v>12.291666666666666</v>
      </c>
      <c r="BD61" s="1">
        <f t="shared" si="127"/>
        <v>12.5</v>
      </c>
      <c r="BE61" s="1">
        <f t="shared" si="127"/>
        <v>12.708333333333334</v>
      </c>
      <c r="BF61" s="1">
        <f t="shared" si="127"/>
        <v>12.916666666666666</v>
      </c>
      <c r="BG61" s="1">
        <f t="shared" si="127"/>
        <v>13.125</v>
      </c>
      <c r="BH61" s="1">
        <f t="shared" si="127"/>
        <v>13.333333333333334</v>
      </c>
      <c r="BI61" s="1">
        <f t="shared" si="127"/>
        <v>13.541666666666666</v>
      </c>
      <c r="BJ61" s="1">
        <f t="shared" si="127"/>
        <v>13.75</v>
      </c>
      <c r="BK61" s="1">
        <f t="shared" si="127"/>
        <v>13.958333333333334</v>
      </c>
      <c r="BL61" s="1">
        <f t="shared" si="127"/>
        <v>14.166666666666666</v>
      </c>
      <c r="BM61" s="1">
        <f t="shared" si="127"/>
        <v>14.375</v>
      </c>
      <c r="BN61" s="1">
        <f t="shared" si="127"/>
        <v>14.583333333333334</v>
      </c>
      <c r="BO61" s="1">
        <f t="shared" si="125"/>
        <v>14.791666666666666</v>
      </c>
      <c r="BP61" s="1">
        <f t="shared" si="125"/>
        <v>15</v>
      </c>
      <c r="BQ61" s="1">
        <f t="shared" si="123"/>
        <v>15.208333333333334</v>
      </c>
      <c r="BR61" s="1">
        <f t="shared" si="123"/>
        <v>15.416666666666666</v>
      </c>
      <c r="BS61" s="1">
        <f t="shared" si="123"/>
        <v>15.625</v>
      </c>
      <c r="BT61" s="1">
        <f t="shared" si="123"/>
        <v>15.833333333333334</v>
      </c>
      <c r="BU61" s="1">
        <f t="shared" si="123"/>
        <v>16.041666666666668</v>
      </c>
      <c r="BV61" s="1">
        <f t="shared" si="123"/>
        <v>16.25</v>
      </c>
      <c r="BW61" s="1">
        <f t="shared" si="123"/>
        <v>16.458333333333332</v>
      </c>
      <c r="BX61" s="1">
        <f t="shared" si="123"/>
        <v>16.666666666666668</v>
      </c>
      <c r="BY61" s="1">
        <f t="shared" si="123"/>
        <v>16.875</v>
      </c>
      <c r="BZ61" s="1">
        <f t="shared" si="123"/>
        <v>17.083333333333332</v>
      </c>
      <c r="CA61" s="1">
        <f t="shared" si="123"/>
        <v>17.291666666666668</v>
      </c>
      <c r="CB61" s="1">
        <f t="shared" si="123"/>
        <v>17.5</v>
      </c>
      <c r="CC61" s="1">
        <f t="shared" si="123"/>
        <v>17.708333333333332</v>
      </c>
      <c r="CD61" s="1">
        <f t="shared" si="123"/>
        <v>17.916666666666668</v>
      </c>
      <c r="CE61" s="1">
        <f t="shared" si="123"/>
        <v>18.125</v>
      </c>
      <c r="CF61" s="1">
        <f t="shared" si="124"/>
        <v>18.333333333333332</v>
      </c>
      <c r="CG61" s="1">
        <f t="shared" si="124"/>
        <v>18.541666666666668</v>
      </c>
      <c r="CH61" s="1">
        <f t="shared" si="124"/>
        <v>18.75</v>
      </c>
      <c r="CI61" s="1">
        <f t="shared" si="124"/>
        <v>18.958333333333332</v>
      </c>
      <c r="CJ61" s="1">
        <f t="shared" si="124"/>
        <v>19.166666666666668</v>
      </c>
      <c r="CK61" s="1">
        <f t="shared" si="124"/>
        <v>19.375</v>
      </c>
      <c r="CL61" s="1">
        <f t="shared" si="124"/>
        <v>19.583333333333332</v>
      </c>
      <c r="CM61" s="1">
        <f t="shared" si="124"/>
        <v>19.791666666666668</v>
      </c>
      <c r="CN61" s="1">
        <f t="shared" si="124"/>
        <v>20</v>
      </c>
      <c r="CO61" s="1">
        <f t="shared" si="124"/>
        <v>20.208333333333332</v>
      </c>
      <c r="CP61" s="1">
        <f t="shared" si="124"/>
        <v>20.416666666666668</v>
      </c>
      <c r="CQ61" s="1">
        <f t="shared" si="124"/>
        <v>20.625</v>
      </c>
      <c r="CR61" s="1">
        <f t="shared" si="124"/>
        <v>20.833333333333332</v>
      </c>
      <c r="CS61" s="1">
        <f t="shared" si="124"/>
        <v>21.041666666666668</v>
      </c>
      <c r="CT61" s="1">
        <f t="shared" si="124"/>
        <v>21.25</v>
      </c>
      <c r="CU61" s="1">
        <f t="shared" si="124"/>
        <v>21.458333333333332</v>
      </c>
      <c r="CV61" s="1">
        <f t="shared" si="122"/>
        <v>21.666666666666668</v>
      </c>
      <c r="CW61" s="1">
        <f t="shared" si="122"/>
        <v>21.875</v>
      </c>
      <c r="CX61" s="1">
        <f t="shared" si="122"/>
        <v>22.083333333333332</v>
      </c>
      <c r="CY61" s="1">
        <f t="shared" si="122"/>
        <v>22.291666666666668</v>
      </c>
      <c r="CZ61" s="1">
        <f t="shared" si="122"/>
        <v>22.5</v>
      </c>
      <c r="DA61" s="1">
        <f t="shared" si="122"/>
        <v>22.708333333333332</v>
      </c>
      <c r="DB61" s="1">
        <f t="shared" si="122"/>
        <v>22.916666666666668</v>
      </c>
      <c r="DC61" s="1">
        <f t="shared" si="122"/>
        <v>23.125</v>
      </c>
      <c r="DD61" s="1">
        <f t="shared" si="122"/>
        <v>23.333333333333332</v>
      </c>
      <c r="DE61" s="1">
        <f t="shared" si="122"/>
        <v>23.541666666666668</v>
      </c>
      <c r="DF61" s="1">
        <f t="shared" si="122"/>
        <v>23.75</v>
      </c>
      <c r="DG61" s="1">
        <f t="shared" si="122"/>
        <v>23.958333333333332</v>
      </c>
      <c r="DH61" s="1">
        <f t="shared" si="122"/>
        <v>24.166666666666668</v>
      </c>
      <c r="DI61" s="1">
        <f t="shared" si="122"/>
        <v>24.375</v>
      </c>
      <c r="DJ61" s="1">
        <f t="shared" si="121"/>
        <v>24.583333333333332</v>
      </c>
      <c r="DK61" s="1">
        <f t="shared" si="121"/>
        <v>24.791666666666668</v>
      </c>
      <c r="DL61" s="1">
        <f t="shared" si="115"/>
        <v>25</v>
      </c>
      <c r="DM61" s="1">
        <f t="shared" si="113"/>
        <v>25.208333333333332</v>
      </c>
      <c r="DN61" s="1">
        <f t="shared" si="113"/>
        <v>25.416666666666668</v>
      </c>
      <c r="DO61" s="1">
        <f t="shared" si="113"/>
        <v>25.625</v>
      </c>
      <c r="DP61" s="1">
        <f t="shared" si="113"/>
        <v>25.833333333333332</v>
      </c>
      <c r="DQ61" s="1">
        <f t="shared" si="113"/>
        <v>26.041666666666668</v>
      </c>
      <c r="DR61" s="1">
        <f t="shared" si="113"/>
        <v>26.25</v>
      </c>
      <c r="DS61" s="1">
        <f t="shared" si="113"/>
        <v>26.458333333333332</v>
      </c>
    </row>
    <row r="62" spans="1:123" x14ac:dyDescent="0.3">
      <c r="A62" s="81"/>
      <c r="B62" s="13" t="str">
        <f t="shared" si="99"/>
        <v>0x31</v>
      </c>
      <c r="C62" s="12">
        <f t="shared" si="101"/>
        <v>49</v>
      </c>
      <c r="D62" s="1">
        <f t="shared" si="128"/>
        <v>1.6326530612244898</v>
      </c>
      <c r="E62" s="1">
        <f t="shared" si="128"/>
        <v>1.8367346938775511</v>
      </c>
      <c r="F62" s="1">
        <f t="shared" si="128"/>
        <v>2.0408163265306123</v>
      </c>
      <c r="G62" s="1">
        <f t="shared" si="128"/>
        <v>2.2448979591836733</v>
      </c>
      <c r="H62" s="1">
        <f t="shared" si="128"/>
        <v>2.4489795918367347</v>
      </c>
      <c r="I62" s="1">
        <f t="shared" si="128"/>
        <v>2.6530612244897958</v>
      </c>
      <c r="J62" s="1">
        <f t="shared" si="128"/>
        <v>2.8571428571428572</v>
      </c>
      <c r="K62" s="1">
        <f t="shared" si="128"/>
        <v>3.0612244897959182</v>
      </c>
      <c r="L62" s="1">
        <f t="shared" si="128"/>
        <v>3.2653061224489797</v>
      </c>
      <c r="M62" s="1">
        <f t="shared" si="128"/>
        <v>3.4693877551020407</v>
      </c>
      <c r="N62" s="1">
        <f t="shared" si="128"/>
        <v>3.6734693877551021</v>
      </c>
      <c r="O62" s="1">
        <f t="shared" si="128"/>
        <v>3.8775510204081631</v>
      </c>
      <c r="P62" s="1">
        <f t="shared" si="128"/>
        <v>4.0816326530612246</v>
      </c>
      <c r="Q62" s="1">
        <f t="shared" si="128"/>
        <v>4.2857142857142856</v>
      </c>
      <c r="R62" s="1">
        <f t="shared" si="128"/>
        <v>4.4897959183673466</v>
      </c>
      <c r="S62" s="1">
        <f t="shared" si="128"/>
        <v>4.6938775510204085</v>
      </c>
      <c r="T62" s="1">
        <f t="shared" si="126"/>
        <v>4.8979591836734695</v>
      </c>
      <c r="U62" s="1">
        <f t="shared" si="126"/>
        <v>5.1020408163265305</v>
      </c>
      <c r="V62" s="1">
        <f t="shared" si="126"/>
        <v>5.3061224489795915</v>
      </c>
      <c r="W62" s="1">
        <f t="shared" si="126"/>
        <v>5.5102040816326534</v>
      </c>
      <c r="X62" s="1">
        <f t="shared" si="126"/>
        <v>5.7142857142857144</v>
      </c>
      <c r="Y62" s="1">
        <f t="shared" si="126"/>
        <v>5.9183673469387754</v>
      </c>
      <c r="Z62" s="1">
        <f t="shared" si="126"/>
        <v>6.1224489795918364</v>
      </c>
      <c r="AA62" s="1">
        <f t="shared" si="126"/>
        <v>6.3265306122448983</v>
      </c>
      <c r="AB62" s="1">
        <f t="shared" si="126"/>
        <v>6.5306122448979593</v>
      </c>
      <c r="AC62" s="1">
        <f t="shared" si="126"/>
        <v>6.7346938775510203</v>
      </c>
      <c r="AD62" s="1">
        <f t="shared" si="126"/>
        <v>6.9387755102040813</v>
      </c>
      <c r="AE62" s="1">
        <f t="shared" si="126"/>
        <v>7.1428571428571432</v>
      </c>
      <c r="AF62" s="1">
        <f t="shared" si="126"/>
        <v>7.3469387755102042</v>
      </c>
      <c r="AG62" s="1">
        <f t="shared" si="126"/>
        <v>7.5510204081632653</v>
      </c>
      <c r="AH62" s="1">
        <f t="shared" si="126"/>
        <v>7.7551020408163263</v>
      </c>
      <c r="AI62" s="1">
        <f t="shared" si="130"/>
        <v>7.9591836734693882</v>
      </c>
      <c r="AJ62" s="1">
        <f t="shared" si="130"/>
        <v>8.1632653061224492</v>
      </c>
      <c r="AK62" s="1">
        <f t="shared" si="130"/>
        <v>8.3673469387755102</v>
      </c>
      <c r="AL62" s="1">
        <f t="shared" si="130"/>
        <v>8.5714285714285712</v>
      </c>
      <c r="AM62" s="1">
        <f t="shared" si="130"/>
        <v>8.7755102040816322</v>
      </c>
      <c r="AN62" s="1">
        <f t="shared" si="130"/>
        <v>8.9795918367346932</v>
      </c>
      <c r="AO62" s="1">
        <f t="shared" si="130"/>
        <v>9.183673469387756</v>
      </c>
      <c r="AP62" s="1">
        <f t="shared" si="130"/>
        <v>9.387755102040817</v>
      </c>
      <c r="AQ62" s="1">
        <f t="shared" si="130"/>
        <v>9.591836734693878</v>
      </c>
      <c r="AR62" s="1">
        <f t="shared" si="130"/>
        <v>9.795918367346939</v>
      </c>
      <c r="AS62" s="1">
        <f t="shared" si="130"/>
        <v>10</v>
      </c>
      <c r="AT62" s="1">
        <f t="shared" si="130"/>
        <v>10.204081632653061</v>
      </c>
      <c r="AU62" s="1">
        <f t="shared" si="130"/>
        <v>10.408163265306122</v>
      </c>
      <c r="AV62" s="1">
        <f t="shared" si="130"/>
        <v>10.612244897959183</v>
      </c>
      <c r="AW62" s="1">
        <f t="shared" si="130"/>
        <v>10.816326530612244</v>
      </c>
      <c r="AX62" s="1">
        <f t="shared" si="130"/>
        <v>11.020408163265307</v>
      </c>
      <c r="AY62" s="1">
        <f t="shared" si="129"/>
        <v>11.224489795918368</v>
      </c>
      <c r="AZ62" s="1">
        <f t="shared" si="129"/>
        <v>11.428571428571429</v>
      </c>
      <c r="BA62" s="1">
        <f t="shared" si="129"/>
        <v>11.63265306122449</v>
      </c>
      <c r="BB62" s="1">
        <f t="shared" si="129"/>
        <v>11.836734693877551</v>
      </c>
      <c r="BC62" s="1">
        <f t="shared" si="127"/>
        <v>12.040816326530612</v>
      </c>
      <c r="BD62" s="1">
        <f t="shared" si="127"/>
        <v>12.244897959183673</v>
      </c>
      <c r="BE62" s="1">
        <f t="shared" si="127"/>
        <v>12.448979591836734</v>
      </c>
      <c r="BF62" s="1">
        <f t="shared" si="127"/>
        <v>12.653061224489797</v>
      </c>
      <c r="BG62" s="1">
        <f t="shared" si="127"/>
        <v>12.857142857142858</v>
      </c>
      <c r="BH62" s="1">
        <f t="shared" si="127"/>
        <v>13.061224489795919</v>
      </c>
      <c r="BI62" s="1">
        <f t="shared" si="127"/>
        <v>13.26530612244898</v>
      </c>
      <c r="BJ62" s="1">
        <f t="shared" si="127"/>
        <v>13.469387755102041</v>
      </c>
      <c r="BK62" s="1">
        <f t="shared" si="127"/>
        <v>13.673469387755102</v>
      </c>
      <c r="BL62" s="1">
        <f t="shared" si="127"/>
        <v>13.877551020408163</v>
      </c>
      <c r="BM62" s="1">
        <f t="shared" si="127"/>
        <v>14.081632653061224</v>
      </c>
      <c r="BN62" s="1">
        <f t="shared" si="127"/>
        <v>14.285714285714286</v>
      </c>
      <c r="BO62" s="1">
        <f t="shared" si="125"/>
        <v>14.489795918367347</v>
      </c>
      <c r="BP62" s="1">
        <f t="shared" si="125"/>
        <v>14.693877551020408</v>
      </c>
      <c r="BQ62" s="1">
        <f t="shared" si="123"/>
        <v>14.897959183673469</v>
      </c>
      <c r="BR62" s="1">
        <f t="shared" si="123"/>
        <v>15.102040816326531</v>
      </c>
      <c r="BS62" s="1">
        <f t="shared" si="123"/>
        <v>15.306122448979592</v>
      </c>
      <c r="BT62" s="1">
        <f t="shared" si="123"/>
        <v>15.510204081632653</v>
      </c>
      <c r="BU62" s="1">
        <f t="shared" si="123"/>
        <v>15.714285714285714</v>
      </c>
      <c r="BV62" s="1">
        <f t="shared" si="123"/>
        <v>15.918367346938776</v>
      </c>
      <c r="BW62" s="1">
        <f t="shared" si="123"/>
        <v>16.122448979591837</v>
      </c>
      <c r="BX62" s="1">
        <f t="shared" si="123"/>
        <v>16.326530612244898</v>
      </c>
      <c r="BY62" s="1">
        <f t="shared" si="123"/>
        <v>16.530612244897959</v>
      </c>
      <c r="BZ62" s="1">
        <f t="shared" si="123"/>
        <v>16.73469387755102</v>
      </c>
      <c r="CA62" s="1">
        <f t="shared" si="123"/>
        <v>16.938775510204081</v>
      </c>
      <c r="CB62" s="1">
        <f t="shared" si="123"/>
        <v>17.142857142857142</v>
      </c>
      <c r="CC62" s="1">
        <f t="shared" si="123"/>
        <v>17.346938775510203</v>
      </c>
      <c r="CD62" s="1">
        <f t="shared" si="123"/>
        <v>17.551020408163264</v>
      </c>
      <c r="CE62" s="1">
        <f t="shared" si="123"/>
        <v>17.755102040816325</v>
      </c>
      <c r="CF62" s="1">
        <f t="shared" si="124"/>
        <v>17.959183673469386</v>
      </c>
      <c r="CG62" s="1">
        <f t="shared" si="124"/>
        <v>18.163265306122447</v>
      </c>
      <c r="CH62" s="1">
        <f t="shared" si="124"/>
        <v>18.367346938775512</v>
      </c>
      <c r="CI62" s="1">
        <f t="shared" si="124"/>
        <v>18.571428571428573</v>
      </c>
      <c r="CJ62" s="1">
        <f t="shared" si="124"/>
        <v>18.775510204081634</v>
      </c>
      <c r="CK62" s="1">
        <f t="shared" si="124"/>
        <v>18.979591836734695</v>
      </c>
      <c r="CL62" s="1">
        <f t="shared" si="124"/>
        <v>19.183673469387756</v>
      </c>
      <c r="CM62" s="1">
        <f t="shared" si="124"/>
        <v>19.387755102040817</v>
      </c>
      <c r="CN62" s="1">
        <f t="shared" si="124"/>
        <v>19.591836734693878</v>
      </c>
      <c r="CO62" s="1">
        <f t="shared" si="124"/>
        <v>19.795918367346939</v>
      </c>
      <c r="CP62" s="1">
        <f t="shared" si="124"/>
        <v>20</v>
      </c>
      <c r="CQ62" s="1">
        <f t="shared" si="124"/>
        <v>20.204081632653061</v>
      </c>
      <c r="CR62" s="1">
        <f t="shared" si="124"/>
        <v>20.408163265306122</v>
      </c>
      <c r="CS62" s="1">
        <f t="shared" si="124"/>
        <v>20.612244897959183</v>
      </c>
      <c r="CT62" s="1">
        <f t="shared" si="124"/>
        <v>20.816326530612244</v>
      </c>
      <c r="CU62" s="1">
        <f t="shared" si="124"/>
        <v>21.020408163265305</v>
      </c>
      <c r="CV62" s="1">
        <f t="shared" si="122"/>
        <v>21.224489795918366</v>
      </c>
      <c r="CW62" s="1">
        <f t="shared" si="122"/>
        <v>21.428571428571427</v>
      </c>
      <c r="CX62" s="1">
        <f t="shared" si="122"/>
        <v>21.632653061224488</v>
      </c>
      <c r="CY62" s="1">
        <f t="shared" si="122"/>
        <v>21.836734693877553</v>
      </c>
      <c r="CZ62" s="1">
        <f t="shared" si="122"/>
        <v>22.040816326530614</v>
      </c>
      <c r="DA62" s="1">
        <f t="shared" si="122"/>
        <v>22.244897959183675</v>
      </c>
      <c r="DB62" s="1">
        <f t="shared" si="122"/>
        <v>22.448979591836736</v>
      </c>
      <c r="DC62" s="1">
        <f t="shared" si="122"/>
        <v>22.653061224489797</v>
      </c>
      <c r="DD62" s="1">
        <f t="shared" si="122"/>
        <v>22.857142857142858</v>
      </c>
      <c r="DE62" s="1">
        <f t="shared" si="122"/>
        <v>23.061224489795919</v>
      </c>
      <c r="DF62" s="1">
        <f t="shared" si="122"/>
        <v>23.26530612244898</v>
      </c>
      <c r="DG62" s="1">
        <f t="shared" si="122"/>
        <v>23.469387755102041</v>
      </c>
      <c r="DH62" s="1">
        <f t="shared" si="122"/>
        <v>23.673469387755102</v>
      </c>
      <c r="DI62" s="1">
        <f t="shared" si="122"/>
        <v>23.877551020408163</v>
      </c>
      <c r="DJ62" s="1">
        <f t="shared" si="121"/>
        <v>24.081632653061224</v>
      </c>
      <c r="DK62" s="1">
        <f t="shared" si="121"/>
        <v>24.285714285714285</v>
      </c>
      <c r="DL62" s="1">
        <f t="shared" si="115"/>
        <v>24.489795918367346</v>
      </c>
      <c r="DM62" s="1">
        <f t="shared" si="113"/>
        <v>24.693877551020407</v>
      </c>
      <c r="DN62" s="1">
        <f t="shared" si="113"/>
        <v>24.897959183673468</v>
      </c>
      <c r="DO62" s="1">
        <f t="shared" si="113"/>
        <v>25.102040816326532</v>
      </c>
      <c r="DP62" s="1">
        <f t="shared" si="113"/>
        <v>25.306122448979593</v>
      </c>
      <c r="DQ62" s="1">
        <f t="shared" si="113"/>
        <v>25.510204081632654</v>
      </c>
      <c r="DR62" s="1">
        <f t="shared" si="113"/>
        <v>25.714285714285715</v>
      </c>
      <c r="DS62" s="1">
        <f t="shared" si="113"/>
        <v>25.918367346938776</v>
      </c>
    </row>
    <row r="63" spans="1:123" x14ac:dyDescent="0.3">
      <c r="A63" s="81"/>
      <c r="B63" s="13" t="str">
        <f t="shared" si="99"/>
        <v>0x32</v>
      </c>
      <c r="C63" s="12">
        <f t="shared" si="101"/>
        <v>50</v>
      </c>
      <c r="D63" s="1">
        <f t="shared" si="128"/>
        <v>1.6</v>
      </c>
      <c r="E63" s="1">
        <f t="shared" si="128"/>
        <v>1.8</v>
      </c>
      <c r="F63" s="1">
        <f t="shared" si="128"/>
        <v>2</v>
      </c>
      <c r="G63" s="1">
        <f t="shared" si="128"/>
        <v>2.2000000000000002</v>
      </c>
      <c r="H63" s="1">
        <f t="shared" si="128"/>
        <v>2.4</v>
      </c>
      <c r="I63" s="1">
        <f t="shared" si="128"/>
        <v>2.6</v>
      </c>
      <c r="J63" s="1">
        <f t="shared" si="128"/>
        <v>2.8</v>
      </c>
      <c r="K63" s="1">
        <f t="shared" si="128"/>
        <v>3</v>
      </c>
      <c r="L63" s="1">
        <f t="shared" si="128"/>
        <v>3.2</v>
      </c>
      <c r="M63" s="1">
        <f t="shared" si="128"/>
        <v>3.4</v>
      </c>
      <c r="N63" s="1">
        <f t="shared" si="128"/>
        <v>3.6</v>
      </c>
      <c r="O63" s="1">
        <f t="shared" si="128"/>
        <v>3.8</v>
      </c>
      <c r="P63" s="1">
        <f t="shared" si="128"/>
        <v>4</v>
      </c>
      <c r="Q63" s="1">
        <f t="shared" si="128"/>
        <v>4.2</v>
      </c>
      <c r="R63" s="1">
        <f t="shared" si="128"/>
        <v>4.4000000000000004</v>
      </c>
      <c r="S63" s="1">
        <f t="shared" si="128"/>
        <v>4.5999999999999996</v>
      </c>
      <c r="T63" s="1">
        <f t="shared" si="126"/>
        <v>4.8</v>
      </c>
      <c r="U63" s="1">
        <f t="shared" si="126"/>
        <v>5</v>
      </c>
      <c r="V63" s="1">
        <f t="shared" si="126"/>
        <v>5.2</v>
      </c>
      <c r="W63" s="1">
        <f t="shared" si="126"/>
        <v>5.4</v>
      </c>
      <c r="X63" s="1">
        <f t="shared" si="126"/>
        <v>5.6</v>
      </c>
      <c r="Y63" s="1">
        <f t="shared" si="126"/>
        <v>5.8</v>
      </c>
      <c r="Z63" s="1">
        <f t="shared" si="126"/>
        <v>6</v>
      </c>
      <c r="AA63" s="1">
        <f t="shared" si="126"/>
        <v>6.2</v>
      </c>
      <c r="AB63" s="1">
        <f t="shared" si="126"/>
        <v>6.4</v>
      </c>
      <c r="AC63" s="1">
        <f t="shared" si="126"/>
        <v>6.6</v>
      </c>
      <c r="AD63" s="1">
        <f t="shared" si="126"/>
        <v>6.8</v>
      </c>
      <c r="AE63" s="1">
        <f t="shared" si="126"/>
        <v>7</v>
      </c>
      <c r="AF63" s="1">
        <f t="shared" si="126"/>
        <v>7.2</v>
      </c>
      <c r="AG63" s="1">
        <f t="shared" si="126"/>
        <v>7.4</v>
      </c>
      <c r="AH63" s="1">
        <f t="shared" si="126"/>
        <v>7.6</v>
      </c>
      <c r="AI63" s="1">
        <f t="shared" si="130"/>
        <v>7.8</v>
      </c>
      <c r="AJ63" s="1">
        <f t="shared" si="130"/>
        <v>8</v>
      </c>
      <c r="AK63" s="1">
        <f t="shared" si="130"/>
        <v>8.1999999999999993</v>
      </c>
      <c r="AL63" s="1">
        <f t="shared" si="130"/>
        <v>8.4</v>
      </c>
      <c r="AM63" s="1">
        <f t="shared" si="130"/>
        <v>8.6</v>
      </c>
      <c r="AN63" s="1">
        <f t="shared" si="130"/>
        <v>8.8000000000000007</v>
      </c>
      <c r="AO63" s="1">
        <f t="shared" si="130"/>
        <v>9</v>
      </c>
      <c r="AP63" s="1">
        <f t="shared" si="130"/>
        <v>9.1999999999999993</v>
      </c>
      <c r="AQ63" s="1">
        <f t="shared" si="130"/>
        <v>9.4</v>
      </c>
      <c r="AR63" s="1">
        <f t="shared" si="130"/>
        <v>9.6</v>
      </c>
      <c r="AS63" s="1">
        <f t="shared" si="130"/>
        <v>9.8000000000000007</v>
      </c>
      <c r="AT63" s="1">
        <f t="shared" si="130"/>
        <v>10</v>
      </c>
      <c r="AU63" s="1">
        <f t="shared" si="130"/>
        <v>10.199999999999999</v>
      </c>
      <c r="AV63" s="1">
        <f t="shared" si="130"/>
        <v>10.4</v>
      </c>
      <c r="AW63" s="1">
        <f t="shared" si="130"/>
        <v>10.6</v>
      </c>
      <c r="AX63" s="1">
        <f t="shared" si="130"/>
        <v>10.8</v>
      </c>
      <c r="AY63" s="1">
        <f t="shared" si="129"/>
        <v>11</v>
      </c>
      <c r="AZ63" s="1">
        <f t="shared" si="129"/>
        <v>11.2</v>
      </c>
      <c r="BA63" s="1">
        <f t="shared" si="129"/>
        <v>11.4</v>
      </c>
      <c r="BB63" s="1">
        <f t="shared" si="129"/>
        <v>11.6</v>
      </c>
      <c r="BC63" s="1">
        <f t="shared" si="127"/>
        <v>11.8</v>
      </c>
      <c r="BD63" s="1">
        <f t="shared" si="127"/>
        <v>12</v>
      </c>
      <c r="BE63" s="1">
        <f t="shared" si="127"/>
        <v>12.2</v>
      </c>
      <c r="BF63" s="1">
        <f t="shared" si="127"/>
        <v>12.4</v>
      </c>
      <c r="BG63" s="1">
        <f t="shared" si="127"/>
        <v>12.6</v>
      </c>
      <c r="BH63" s="1">
        <f t="shared" si="127"/>
        <v>12.8</v>
      </c>
      <c r="BI63" s="1">
        <f t="shared" si="127"/>
        <v>13</v>
      </c>
      <c r="BJ63" s="1">
        <f t="shared" si="127"/>
        <v>13.2</v>
      </c>
      <c r="BK63" s="1">
        <f t="shared" si="127"/>
        <v>13.4</v>
      </c>
      <c r="BL63" s="1">
        <f t="shared" si="127"/>
        <v>13.6</v>
      </c>
      <c r="BM63" s="1">
        <f t="shared" si="127"/>
        <v>13.8</v>
      </c>
      <c r="BN63" s="1">
        <f t="shared" si="127"/>
        <v>14</v>
      </c>
      <c r="BO63" s="1">
        <f t="shared" si="125"/>
        <v>14.2</v>
      </c>
      <c r="BP63" s="1">
        <f t="shared" si="125"/>
        <v>14.4</v>
      </c>
      <c r="BQ63" s="1">
        <f t="shared" si="123"/>
        <v>14.6</v>
      </c>
      <c r="BR63" s="1">
        <f t="shared" si="123"/>
        <v>14.8</v>
      </c>
      <c r="BS63" s="1">
        <f t="shared" si="123"/>
        <v>15</v>
      </c>
      <c r="BT63" s="1">
        <f t="shared" si="123"/>
        <v>15.2</v>
      </c>
      <c r="BU63" s="1">
        <f t="shared" si="123"/>
        <v>15.4</v>
      </c>
      <c r="BV63" s="1">
        <f t="shared" si="123"/>
        <v>15.6</v>
      </c>
      <c r="BW63" s="1">
        <f t="shared" si="123"/>
        <v>15.8</v>
      </c>
      <c r="BX63" s="1">
        <f t="shared" si="123"/>
        <v>16</v>
      </c>
      <c r="BY63" s="1">
        <f t="shared" si="123"/>
        <v>16.2</v>
      </c>
      <c r="BZ63" s="1">
        <f t="shared" si="123"/>
        <v>16.399999999999999</v>
      </c>
      <c r="CA63" s="1">
        <f t="shared" si="123"/>
        <v>16.600000000000001</v>
      </c>
      <c r="CB63" s="1">
        <f t="shared" si="123"/>
        <v>16.8</v>
      </c>
      <c r="CC63" s="1">
        <f t="shared" si="123"/>
        <v>17</v>
      </c>
      <c r="CD63" s="1">
        <f t="shared" si="123"/>
        <v>17.2</v>
      </c>
      <c r="CE63" s="1">
        <f t="shared" si="123"/>
        <v>17.399999999999999</v>
      </c>
      <c r="CF63" s="1">
        <f t="shared" si="124"/>
        <v>17.600000000000001</v>
      </c>
      <c r="CG63" s="1">
        <f t="shared" si="124"/>
        <v>17.8</v>
      </c>
      <c r="CH63" s="1">
        <f t="shared" si="124"/>
        <v>18</v>
      </c>
      <c r="CI63" s="1">
        <f t="shared" si="124"/>
        <v>18.2</v>
      </c>
      <c r="CJ63" s="1">
        <f t="shared" si="124"/>
        <v>18.399999999999999</v>
      </c>
      <c r="CK63" s="1">
        <f t="shared" si="124"/>
        <v>18.600000000000001</v>
      </c>
      <c r="CL63" s="1">
        <f t="shared" si="124"/>
        <v>18.8</v>
      </c>
      <c r="CM63" s="1">
        <f t="shared" si="124"/>
        <v>19</v>
      </c>
      <c r="CN63" s="1">
        <f t="shared" si="124"/>
        <v>19.2</v>
      </c>
      <c r="CO63" s="1">
        <f t="shared" si="124"/>
        <v>19.399999999999999</v>
      </c>
      <c r="CP63" s="1">
        <f t="shared" si="124"/>
        <v>19.600000000000001</v>
      </c>
      <c r="CQ63" s="1">
        <f t="shared" si="124"/>
        <v>19.8</v>
      </c>
      <c r="CR63" s="1">
        <f t="shared" si="124"/>
        <v>20</v>
      </c>
      <c r="CS63" s="1">
        <f t="shared" si="124"/>
        <v>20.2</v>
      </c>
      <c r="CT63" s="1">
        <f t="shared" si="124"/>
        <v>20.399999999999999</v>
      </c>
      <c r="CU63" s="1">
        <f t="shared" si="124"/>
        <v>20.6</v>
      </c>
      <c r="CV63" s="1">
        <f t="shared" si="122"/>
        <v>20.8</v>
      </c>
      <c r="CW63" s="1">
        <f t="shared" si="122"/>
        <v>21</v>
      </c>
      <c r="CX63" s="1">
        <f t="shared" si="122"/>
        <v>21.2</v>
      </c>
      <c r="CY63" s="1">
        <f t="shared" si="122"/>
        <v>21.4</v>
      </c>
      <c r="CZ63" s="1">
        <f t="shared" si="122"/>
        <v>21.6</v>
      </c>
      <c r="DA63" s="1">
        <f t="shared" si="122"/>
        <v>21.8</v>
      </c>
      <c r="DB63" s="1">
        <f t="shared" si="122"/>
        <v>22</v>
      </c>
      <c r="DC63" s="1">
        <f t="shared" si="122"/>
        <v>22.2</v>
      </c>
      <c r="DD63" s="1">
        <f t="shared" si="122"/>
        <v>22.4</v>
      </c>
      <c r="DE63" s="1">
        <f t="shared" si="122"/>
        <v>22.6</v>
      </c>
      <c r="DF63" s="1">
        <f t="shared" si="122"/>
        <v>22.8</v>
      </c>
      <c r="DG63" s="1">
        <f t="shared" si="122"/>
        <v>23</v>
      </c>
      <c r="DH63" s="1">
        <f t="shared" si="122"/>
        <v>23.2</v>
      </c>
      <c r="DI63" s="1">
        <f t="shared" si="122"/>
        <v>23.4</v>
      </c>
      <c r="DJ63" s="1">
        <f t="shared" si="121"/>
        <v>23.6</v>
      </c>
      <c r="DK63" s="1">
        <f t="shared" si="121"/>
        <v>23.8</v>
      </c>
      <c r="DL63" s="1">
        <f t="shared" si="115"/>
        <v>24</v>
      </c>
      <c r="DM63" s="1">
        <f t="shared" si="113"/>
        <v>24.2</v>
      </c>
      <c r="DN63" s="1">
        <f t="shared" si="113"/>
        <v>24.4</v>
      </c>
      <c r="DO63" s="1">
        <f t="shared" si="113"/>
        <v>24.6</v>
      </c>
      <c r="DP63" s="1">
        <f t="shared" si="113"/>
        <v>24.8</v>
      </c>
      <c r="DQ63" s="1">
        <f t="shared" si="113"/>
        <v>25</v>
      </c>
      <c r="DR63" s="1">
        <f t="shared" si="113"/>
        <v>25.2</v>
      </c>
      <c r="DS63" s="1">
        <f t="shared" si="113"/>
        <v>25.4</v>
      </c>
    </row>
    <row r="64" spans="1:123" x14ac:dyDescent="0.3">
      <c r="A64" s="81"/>
      <c r="B64" s="13" t="str">
        <f t="shared" si="99"/>
        <v>0x33</v>
      </c>
      <c r="C64" s="12">
        <f t="shared" si="101"/>
        <v>51</v>
      </c>
      <c r="D64" s="1">
        <f t="shared" si="128"/>
        <v>1.5686274509803921</v>
      </c>
      <c r="E64" s="1">
        <f t="shared" si="128"/>
        <v>1.7647058823529411</v>
      </c>
      <c r="F64" s="1">
        <f t="shared" si="128"/>
        <v>1.9607843137254901</v>
      </c>
      <c r="G64" s="1">
        <f t="shared" si="128"/>
        <v>2.1568627450980391</v>
      </c>
      <c r="H64" s="1">
        <f t="shared" si="128"/>
        <v>2.3529411764705883</v>
      </c>
      <c r="I64" s="1">
        <f t="shared" si="128"/>
        <v>2.5490196078431371</v>
      </c>
      <c r="J64" s="1">
        <f t="shared" si="128"/>
        <v>2.7450980392156863</v>
      </c>
      <c r="K64" s="1">
        <f t="shared" si="128"/>
        <v>2.9411764705882355</v>
      </c>
      <c r="L64" s="1">
        <f t="shared" si="128"/>
        <v>3.1372549019607843</v>
      </c>
      <c r="M64" s="1">
        <f t="shared" si="128"/>
        <v>3.3333333333333335</v>
      </c>
      <c r="N64" s="1">
        <f t="shared" si="128"/>
        <v>3.5294117647058822</v>
      </c>
      <c r="O64" s="1">
        <f t="shared" si="128"/>
        <v>3.7254901960784315</v>
      </c>
      <c r="P64" s="1">
        <f t="shared" si="128"/>
        <v>3.9215686274509802</v>
      </c>
      <c r="Q64" s="1">
        <f t="shared" si="128"/>
        <v>4.117647058823529</v>
      </c>
      <c r="R64" s="1">
        <f t="shared" si="128"/>
        <v>4.3137254901960782</v>
      </c>
      <c r="S64" s="1">
        <f t="shared" si="128"/>
        <v>4.5098039215686274</v>
      </c>
      <c r="T64" s="1">
        <f t="shared" si="126"/>
        <v>4.7058823529411766</v>
      </c>
      <c r="U64" s="1">
        <f t="shared" si="126"/>
        <v>4.9019607843137258</v>
      </c>
      <c r="V64" s="1">
        <f t="shared" si="126"/>
        <v>5.0980392156862742</v>
      </c>
      <c r="W64" s="1">
        <f t="shared" si="126"/>
        <v>5.2941176470588234</v>
      </c>
      <c r="X64" s="1">
        <f t="shared" si="126"/>
        <v>5.4901960784313726</v>
      </c>
      <c r="Y64" s="1">
        <f t="shared" si="126"/>
        <v>5.6862745098039218</v>
      </c>
      <c r="Z64" s="1">
        <f t="shared" si="126"/>
        <v>5.882352941176471</v>
      </c>
      <c r="AA64" s="1">
        <f t="shared" si="126"/>
        <v>6.0784313725490193</v>
      </c>
      <c r="AB64" s="1">
        <f t="shared" si="126"/>
        <v>6.2745098039215685</v>
      </c>
      <c r="AC64" s="1">
        <f t="shared" si="126"/>
        <v>6.4705882352941178</v>
      </c>
      <c r="AD64" s="1">
        <f t="shared" si="126"/>
        <v>6.666666666666667</v>
      </c>
      <c r="AE64" s="1">
        <f t="shared" si="126"/>
        <v>6.8627450980392153</v>
      </c>
      <c r="AF64" s="1">
        <f t="shared" si="126"/>
        <v>7.0588235294117645</v>
      </c>
      <c r="AG64" s="1">
        <f t="shared" si="126"/>
        <v>7.2549019607843137</v>
      </c>
      <c r="AH64" s="1">
        <f t="shared" si="126"/>
        <v>7.4509803921568629</v>
      </c>
      <c r="AI64" s="1">
        <f t="shared" si="130"/>
        <v>7.6470588235294121</v>
      </c>
      <c r="AJ64" s="1">
        <f t="shared" si="130"/>
        <v>7.8431372549019605</v>
      </c>
      <c r="AK64" s="1">
        <f t="shared" si="130"/>
        <v>8.0392156862745097</v>
      </c>
      <c r="AL64" s="1">
        <f t="shared" si="130"/>
        <v>8.235294117647058</v>
      </c>
      <c r="AM64" s="1">
        <f t="shared" si="130"/>
        <v>8.4313725490196081</v>
      </c>
      <c r="AN64" s="1">
        <f t="shared" si="130"/>
        <v>8.6274509803921564</v>
      </c>
      <c r="AO64" s="1">
        <f t="shared" si="130"/>
        <v>8.8235294117647065</v>
      </c>
      <c r="AP64" s="1">
        <f t="shared" si="130"/>
        <v>9.0196078431372548</v>
      </c>
      <c r="AQ64" s="1">
        <f t="shared" si="130"/>
        <v>9.2156862745098032</v>
      </c>
      <c r="AR64" s="1">
        <f t="shared" si="130"/>
        <v>9.4117647058823533</v>
      </c>
      <c r="AS64" s="1">
        <f t="shared" si="130"/>
        <v>9.6078431372549016</v>
      </c>
      <c r="AT64" s="1">
        <f t="shared" si="130"/>
        <v>9.8039215686274517</v>
      </c>
      <c r="AU64" s="1">
        <f t="shared" si="130"/>
        <v>10</v>
      </c>
      <c r="AV64" s="1">
        <f t="shared" si="130"/>
        <v>10.196078431372548</v>
      </c>
      <c r="AW64" s="1">
        <f t="shared" si="130"/>
        <v>10.392156862745098</v>
      </c>
      <c r="AX64" s="1">
        <f t="shared" si="130"/>
        <v>10.588235294117647</v>
      </c>
      <c r="AY64" s="1">
        <f t="shared" si="129"/>
        <v>10.784313725490197</v>
      </c>
      <c r="AZ64" s="1">
        <f t="shared" si="129"/>
        <v>10.980392156862745</v>
      </c>
      <c r="BA64" s="1">
        <f t="shared" si="129"/>
        <v>11.176470588235293</v>
      </c>
      <c r="BB64" s="1">
        <f t="shared" si="129"/>
        <v>11.372549019607844</v>
      </c>
      <c r="BC64" s="1">
        <f t="shared" si="127"/>
        <v>11.568627450980392</v>
      </c>
      <c r="BD64" s="1">
        <f t="shared" si="127"/>
        <v>11.764705882352942</v>
      </c>
      <c r="BE64" s="1">
        <f t="shared" si="127"/>
        <v>11.96078431372549</v>
      </c>
      <c r="BF64" s="1">
        <f t="shared" si="127"/>
        <v>12.156862745098039</v>
      </c>
      <c r="BG64" s="1">
        <f t="shared" si="127"/>
        <v>12.352941176470589</v>
      </c>
      <c r="BH64" s="1">
        <f t="shared" si="127"/>
        <v>12.549019607843137</v>
      </c>
      <c r="BI64" s="1">
        <f t="shared" si="127"/>
        <v>12.745098039215685</v>
      </c>
      <c r="BJ64" s="1">
        <f t="shared" si="127"/>
        <v>12.941176470588236</v>
      </c>
      <c r="BK64" s="1">
        <f t="shared" si="127"/>
        <v>13.137254901960784</v>
      </c>
      <c r="BL64" s="1">
        <f t="shared" si="127"/>
        <v>13.333333333333334</v>
      </c>
      <c r="BM64" s="1">
        <f t="shared" si="127"/>
        <v>13.529411764705882</v>
      </c>
      <c r="BN64" s="1">
        <f t="shared" si="127"/>
        <v>13.725490196078431</v>
      </c>
      <c r="BO64" s="1">
        <f t="shared" si="125"/>
        <v>13.921568627450981</v>
      </c>
      <c r="BP64" s="1">
        <f t="shared" si="125"/>
        <v>14.117647058823529</v>
      </c>
      <c r="BQ64" s="1">
        <f t="shared" si="123"/>
        <v>14.313725490196079</v>
      </c>
      <c r="BR64" s="1">
        <f t="shared" si="123"/>
        <v>14.509803921568627</v>
      </c>
      <c r="BS64" s="1">
        <f t="shared" si="123"/>
        <v>14.705882352941176</v>
      </c>
      <c r="BT64" s="1">
        <f t="shared" si="123"/>
        <v>14.901960784313726</v>
      </c>
      <c r="BU64" s="1">
        <f t="shared" si="123"/>
        <v>15.098039215686274</v>
      </c>
      <c r="BV64" s="1">
        <f t="shared" si="123"/>
        <v>15.294117647058824</v>
      </c>
      <c r="BW64" s="1">
        <f t="shared" si="123"/>
        <v>15.490196078431373</v>
      </c>
      <c r="BX64" s="1">
        <f t="shared" si="123"/>
        <v>15.686274509803921</v>
      </c>
      <c r="BY64" s="1">
        <f t="shared" si="123"/>
        <v>15.882352941176471</v>
      </c>
      <c r="BZ64" s="1">
        <f t="shared" si="123"/>
        <v>16.078431372549019</v>
      </c>
      <c r="CA64" s="1">
        <f t="shared" si="123"/>
        <v>16.274509803921568</v>
      </c>
      <c r="CB64" s="1">
        <f t="shared" si="123"/>
        <v>16.470588235294116</v>
      </c>
      <c r="CC64" s="1">
        <f t="shared" si="123"/>
        <v>16.666666666666668</v>
      </c>
      <c r="CD64" s="1">
        <f t="shared" si="123"/>
        <v>16.862745098039216</v>
      </c>
      <c r="CE64" s="1">
        <f t="shared" si="123"/>
        <v>17.058823529411764</v>
      </c>
      <c r="CF64" s="1">
        <f t="shared" si="124"/>
        <v>17.254901960784313</v>
      </c>
      <c r="CG64" s="1">
        <f t="shared" si="124"/>
        <v>17.450980392156861</v>
      </c>
      <c r="CH64" s="1">
        <f t="shared" si="124"/>
        <v>17.647058823529413</v>
      </c>
      <c r="CI64" s="1">
        <f t="shared" si="124"/>
        <v>17.843137254901961</v>
      </c>
      <c r="CJ64" s="1">
        <f t="shared" si="124"/>
        <v>18.03921568627451</v>
      </c>
      <c r="CK64" s="1">
        <f t="shared" si="124"/>
        <v>18.235294117647058</v>
      </c>
      <c r="CL64" s="1">
        <f t="shared" si="124"/>
        <v>18.431372549019606</v>
      </c>
      <c r="CM64" s="1">
        <f t="shared" si="124"/>
        <v>18.627450980392158</v>
      </c>
      <c r="CN64" s="1">
        <f t="shared" si="124"/>
        <v>18.823529411764707</v>
      </c>
      <c r="CO64" s="1">
        <f t="shared" si="124"/>
        <v>19.019607843137255</v>
      </c>
      <c r="CP64" s="1">
        <f t="shared" si="124"/>
        <v>19.215686274509803</v>
      </c>
      <c r="CQ64" s="1">
        <f t="shared" si="124"/>
        <v>19.411764705882351</v>
      </c>
      <c r="CR64" s="1">
        <f t="shared" si="124"/>
        <v>19.607843137254903</v>
      </c>
      <c r="CS64" s="1">
        <f t="shared" si="124"/>
        <v>19.803921568627452</v>
      </c>
      <c r="CT64" s="1">
        <f t="shared" si="124"/>
        <v>20</v>
      </c>
      <c r="CU64" s="1">
        <f t="shared" si="124"/>
        <v>20.196078431372548</v>
      </c>
      <c r="CV64" s="1">
        <f t="shared" si="122"/>
        <v>20.392156862745097</v>
      </c>
      <c r="CW64" s="1">
        <f t="shared" si="122"/>
        <v>20.588235294117649</v>
      </c>
      <c r="CX64" s="1">
        <f t="shared" si="122"/>
        <v>20.784313725490197</v>
      </c>
      <c r="CY64" s="1">
        <f t="shared" si="122"/>
        <v>20.980392156862745</v>
      </c>
      <c r="CZ64" s="1">
        <f t="shared" si="122"/>
        <v>21.176470588235293</v>
      </c>
      <c r="DA64" s="1">
        <f t="shared" si="122"/>
        <v>21.372549019607842</v>
      </c>
      <c r="DB64" s="1">
        <f t="shared" si="122"/>
        <v>21.568627450980394</v>
      </c>
      <c r="DC64" s="1">
        <f t="shared" si="122"/>
        <v>21.764705882352942</v>
      </c>
      <c r="DD64" s="1">
        <f t="shared" si="122"/>
        <v>21.96078431372549</v>
      </c>
      <c r="DE64" s="1">
        <f t="shared" si="122"/>
        <v>22.156862745098039</v>
      </c>
      <c r="DF64" s="1">
        <f t="shared" si="122"/>
        <v>22.352941176470587</v>
      </c>
      <c r="DG64" s="1">
        <f t="shared" si="122"/>
        <v>22.549019607843139</v>
      </c>
      <c r="DH64" s="1">
        <f t="shared" si="122"/>
        <v>22.745098039215687</v>
      </c>
      <c r="DI64" s="1">
        <f t="shared" si="122"/>
        <v>22.941176470588236</v>
      </c>
      <c r="DJ64" s="1">
        <f t="shared" si="121"/>
        <v>23.137254901960784</v>
      </c>
      <c r="DK64" s="1">
        <f t="shared" si="121"/>
        <v>23.333333333333332</v>
      </c>
      <c r="DL64" s="1">
        <f t="shared" si="115"/>
        <v>23.529411764705884</v>
      </c>
      <c r="DM64" s="1">
        <f t="shared" si="113"/>
        <v>23.725490196078432</v>
      </c>
      <c r="DN64" s="1">
        <f t="shared" si="113"/>
        <v>23.921568627450981</v>
      </c>
      <c r="DO64" s="1">
        <f t="shared" si="113"/>
        <v>24.117647058823529</v>
      </c>
      <c r="DP64" s="1">
        <f t="shared" si="113"/>
        <v>24.313725490196077</v>
      </c>
      <c r="DQ64" s="1">
        <f t="shared" si="113"/>
        <v>24.509803921568629</v>
      </c>
      <c r="DR64" s="1">
        <f t="shared" si="113"/>
        <v>24.705882352941178</v>
      </c>
      <c r="DS64" s="1">
        <f t="shared" si="113"/>
        <v>24.901960784313726</v>
      </c>
    </row>
    <row r="65" spans="1:123" x14ac:dyDescent="0.3">
      <c r="A65" s="81"/>
      <c r="B65" s="13" t="str">
        <f t="shared" si="99"/>
        <v>0x34</v>
      </c>
      <c r="C65" s="12">
        <f t="shared" si="101"/>
        <v>52</v>
      </c>
      <c r="D65" s="1">
        <f t="shared" si="128"/>
        <v>1.5384615384615385</v>
      </c>
      <c r="E65" s="1">
        <f t="shared" si="128"/>
        <v>1.7307692307692308</v>
      </c>
      <c r="F65" s="1">
        <f t="shared" si="128"/>
        <v>1.9230769230769231</v>
      </c>
      <c r="G65" s="1">
        <f t="shared" si="128"/>
        <v>2.1153846153846154</v>
      </c>
      <c r="H65" s="1">
        <f t="shared" si="128"/>
        <v>2.3076923076923075</v>
      </c>
      <c r="I65" s="1">
        <f t="shared" si="128"/>
        <v>2.5</v>
      </c>
      <c r="J65" s="1">
        <f t="shared" si="128"/>
        <v>2.6923076923076925</v>
      </c>
      <c r="K65" s="1">
        <f t="shared" si="128"/>
        <v>2.8846153846153846</v>
      </c>
      <c r="L65" s="1">
        <f t="shared" si="128"/>
        <v>3.0769230769230771</v>
      </c>
      <c r="M65" s="1">
        <f t="shared" si="128"/>
        <v>3.2692307692307692</v>
      </c>
      <c r="N65" s="1">
        <f t="shared" si="128"/>
        <v>3.4615384615384617</v>
      </c>
      <c r="O65" s="1">
        <f t="shared" si="128"/>
        <v>3.6538461538461537</v>
      </c>
      <c r="P65" s="1">
        <f t="shared" si="128"/>
        <v>3.8461538461538463</v>
      </c>
      <c r="Q65" s="1">
        <f t="shared" si="128"/>
        <v>4.0384615384615383</v>
      </c>
      <c r="R65" s="1">
        <f t="shared" si="128"/>
        <v>4.2307692307692308</v>
      </c>
      <c r="S65" s="1">
        <f t="shared" si="128"/>
        <v>4.4230769230769234</v>
      </c>
      <c r="T65" s="1">
        <f t="shared" si="126"/>
        <v>4.615384615384615</v>
      </c>
      <c r="U65" s="1">
        <f t="shared" si="126"/>
        <v>4.8076923076923075</v>
      </c>
      <c r="V65" s="1">
        <f t="shared" si="126"/>
        <v>5</v>
      </c>
      <c r="W65" s="1">
        <f t="shared" si="126"/>
        <v>5.1923076923076925</v>
      </c>
      <c r="X65" s="1">
        <f t="shared" si="126"/>
        <v>5.384615384615385</v>
      </c>
      <c r="Y65" s="1">
        <f t="shared" si="126"/>
        <v>5.5769230769230766</v>
      </c>
      <c r="Z65" s="1">
        <f t="shared" si="126"/>
        <v>5.7692307692307692</v>
      </c>
      <c r="AA65" s="1">
        <f t="shared" si="126"/>
        <v>5.9615384615384617</v>
      </c>
      <c r="AB65" s="1">
        <f t="shared" si="126"/>
        <v>6.1538461538461542</v>
      </c>
      <c r="AC65" s="1">
        <f t="shared" si="126"/>
        <v>6.3461538461538458</v>
      </c>
      <c r="AD65" s="1">
        <f t="shared" si="126"/>
        <v>6.5384615384615383</v>
      </c>
      <c r="AE65" s="1">
        <f t="shared" si="126"/>
        <v>6.7307692307692308</v>
      </c>
      <c r="AF65" s="1">
        <f t="shared" si="126"/>
        <v>6.9230769230769234</v>
      </c>
      <c r="AG65" s="1">
        <f t="shared" si="126"/>
        <v>7.115384615384615</v>
      </c>
      <c r="AH65" s="1">
        <f t="shared" si="126"/>
        <v>7.3076923076923075</v>
      </c>
      <c r="AI65" s="1">
        <f t="shared" si="130"/>
        <v>7.5</v>
      </c>
      <c r="AJ65" s="1">
        <f t="shared" si="130"/>
        <v>7.6923076923076925</v>
      </c>
      <c r="AK65" s="1">
        <f t="shared" si="130"/>
        <v>7.884615384615385</v>
      </c>
      <c r="AL65" s="1">
        <f t="shared" si="130"/>
        <v>8.0769230769230766</v>
      </c>
      <c r="AM65" s="1">
        <f t="shared" si="130"/>
        <v>8.2692307692307701</v>
      </c>
      <c r="AN65" s="1">
        <f t="shared" si="130"/>
        <v>8.4615384615384617</v>
      </c>
      <c r="AO65" s="1">
        <f t="shared" si="130"/>
        <v>8.6538461538461533</v>
      </c>
      <c r="AP65" s="1">
        <f t="shared" si="130"/>
        <v>8.8461538461538467</v>
      </c>
      <c r="AQ65" s="1">
        <f t="shared" si="130"/>
        <v>9.0384615384615383</v>
      </c>
      <c r="AR65" s="1">
        <f t="shared" si="130"/>
        <v>9.2307692307692299</v>
      </c>
      <c r="AS65" s="1">
        <f t="shared" si="130"/>
        <v>9.4230769230769234</v>
      </c>
      <c r="AT65" s="1">
        <f t="shared" si="130"/>
        <v>9.615384615384615</v>
      </c>
      <c r="AU65" s="1">
        <f t="shared" si="130"/>
        <v>9.8076923076923084</v>
      </c>
      <c r="AV65" s="1">
        <f t="shared" si="130"/>
        <v>10</v>
      </c>
      <c r="AW65" s="1">
        <f t="shared" si="130"/>
        <v>10.192307692307692</v>
      </c>
      <c r="AX65" s="1">
        <f t="shared" si="130"/>
        <v>10.384615384615385</v>
      </c>
      <c r="AY65" s="1">
        <f t="shared" si="129"/>
        <v>10.576923076923077</v>
      </c>
      <c r="AZ65" s="1">
        <f t="shared" si="129"/>
        <v>10.76923076923077</v>
      </c>
      <c r="BA65" s="1">
        <f t="shared" si="129"/>
        <v>10.961538461538462</v>
      </c>
      <c r="BB65" s="1">
        <f t="shared" si="129"/>
        <v>11.153846153846153</v>
      </c>
      <c r="BC65" s="1">
        <f t="shared" si="127"/>
        <v>11.346153846153847</v>
      </c>
      <c r="BD65" s="1">
        <f t="shared" si="127"/>
        <v>11.538461538461538</v>
      </c>
      <c r="BE65" s="1">
        <f t="shared" si="127"/>
        <v>11.73076923076923</v>
      </c>
      <c r="BF65" s="1">
        <f t="shared" si="127"/>
        <v>11.923076923076923</v>
      </c>
      <c r="BG65" s="1">
        <f t="shared" si="127"/>
        <v>12.115384615384615</v>
      </c>
      <c r="BH65" s="1">
        <f t="shared" si="127"/>
        <v>12.307692307692308</v>
      </c>
      <c r="BI65" s="1">
        <f t="shared" si="127"/>
        <v>12.5</v>
      </c>
      <c r="BJ65" s="1">
        <f t="shared" si="127"/>
        <v>12.692307692307692</v>
      </c>
      <c r="BK65" s="1">
        <f t="shared" si="127"/>
        <v>12.884615384615385</v>
      </c>
      <c r="BL65" s="1">
        <f t="shared" si="127"/>
        <v>13.076923076923077</v>
      </c>
      <c r="BM65" s="1">
        <f t="shared" si="127"/>
        <v>13.26923076923077</v>
      </c>
      <c r="BN65" s="1">
        <f t="shared" si="127"/>
        <v>13.461538461538462</v>
      </c>
      <c r="BO65" s="1">
        <f t="shared" si="125"/>
        <v>13.653846153846153</v>
      </c>
      <c r="BP65" s="1">
        <f t="shared" si="125"/>
        <v>13.846153846153847</v>
      </c>
      <c r="BQ65" s="1">
        <f t="shared" si="123"/>
        <v>14.038461538461538</v>
      </c>
      <c r="BR65" s="1">
        <f t="shared" si="123"/>
        <v>14.23076923076923</v>
      </c>
      <c r="BS65" s="1">
        <f t="shared" si="123"/>
        <v>14.423076923076923</v>
      </c>
      <c r="BT65" s="1">
        <f t="shared" si="123"/>
        <v>14.615384615384615</v>
      </c>
      <c r="BU65" s="1">
        <f t="shared" si="123"/>
        <v>14.807692307692308</v>
      </c>
      <c r="BV65" s="1">
        <f t="shared" si="123"/>
        <v>15</v>
      </c>
      <c r="BW65" s="1">
        <f t="shared" si="123"/>
        <v>15.192307692307692</v>
      </c>
      <c r="BX65" s="1">
        <f t="shared" si="123"/>
        <v>15.384615384615385</v>
      </c>
      <c r="BY65" s="1">
        <f t="shared" si="123"/>
        <v>15.576923076923077</v>
      </c>
      <c r="BZ65" s="1">
        <f t="shared" si="123"/>
        <v>15.76923076923077</v>
      </c>
      <c r="CA65" s="1">
        <f t="shared" si="123"/>
        <v>15.961538461538462</v>
      </c>
      <c r="CB65" s="1">
        <f t="shared" si="123"/>
        <v>16.153846153846153</v>
      </c>
      <c r="CC65" s="1">
        <f t="shared" si="123"/>
        <v>16.346153846153847</v>
      </c>
      <c r="CD65" s="1">
        <f t="shared" si="123"/>
        <v>16.53846153846154</v>
      </c>
      <c r="CE65" s="1">
        <f t="shared" si="123"/>
        <v>16.73076923076923</v>
      </c>
      <c r="CF65" s="1">
        <f t="shared" si="124"/>
        <v>16.923076923076923</v>
      </c>
      <c r="CG65" s="1">
        <f t="shared" si="124"/>
        <v>17.115384615384617</v>
      </c>
      <c r="CH65" s="1">
        <f t="shared" si="124"/>
        <v>17.307692307692307</v>
      </c>
      <c r="CI65" s="1">
        <f t="shared" si="124"/>
        <v>17.5</v>
      </c>
      <c r="CJ65" s="1">
        <f t="shared" si="124"/>
        <v>17.692307692307693</v>
      </c>
      <c r="CK65" s="1">
        <f t="shared" si="124"/>
        <v>17.884615384615383</v>
      </c>
      <c r="CL65" s="1">
        <f t="shared" si="124"/>
        <v>18.076923076923077</v>
      </c>
      <c r="CM65" s="1">
        <f t="shared" si="124"/>
        <v>18.26923076923077</v>
      </c>
      <c r="CN65" s="1">
        <f t="shared" si="124"/>
        <v>18.46153846153846</v>
      </c>
      <c r="CO65" s="1">
        <f t="shared" si="124"/>
        <v>18.653846153846153</v>
      </c>
      <c r="CP65" s="1">
        <f t="shared" si="124"/>
        <v>18.846153846153847</v>
      </c>
      <c r="CQ65" s="1">
        <f t="shared" si="124"/>
        <v>19.03846153846154</v>
      </c>
      <c r="CR65" s="1">
        <f t="shared" si="124"/>
        <v>19.23076923076923</v>
      </c>
      <c r="CS65" s="1">
        <f t="shared" si="124"/>
        <v>19.423076923076923</v>
      </c>
      <c r="CT65" s="1">
        <f t="shared" si="124"/>
        <v>19.615384615384617</v>
      </c>
      <c r="CU65" s="1">
        <f t="shared" si="124"/>
        <v>19.807692307692307</v>
      </c>
      <c r="CV65" s="1">
        <f t="shared" si="122"/>
        <v>20</v>
      </c>
      <c r="CW65" s="1">
        <f t="shared" si="122"/>
        <v>20.192307692307693</v>
      </c>
      <c r="CX65" s="1">
        <f t="shared" si="122"/>
        <v>20.384615384615383</v>
      </c>
      <c r="CY65" s="1">
        <f t="shared" si="122"/>
        <v>20.576923076923077</v>
      </c>
      <c r="CZ65" s="1">
        <f t="shared" si="122"/>
        <v>20.76923076923077</v>
      </c>
      <c r="DA65" s="1">
        <f t="shared" si="122"/>
        <v>20.96153846153846</v>
      </c>
      <c r="DB65" s="1">
        <f t="shared" si="122"/>
        <v>21.153846153846153</v>
      </c>
      <c r="DC65" s="1">
        <f t="shared" si="122"/>
        <v>21.346153846153847</v>
      </c>
      <c r="DD65" s="1">
        <f t="shared" si="122"/>
        <v>21.53846153846154</v>
      </c>
      <c r="DE65" s="1">
        <f t="shared" si="122"/>
        <v>21.73076923076923</v>
      </c>
      <c r="DF65" s="1">
        <f t="shared" si="122"/>
        <v>21.923076923076923</v>
      </c>
      <c r="DG65" s="1">
        <f t="shared" si="122"/>
        <v>22.115384615384617</v>
      </c>
      <c r="DH65" s="1">
        <f t="shared" si="122"/>
        <v>22.307692307692307</v>
      </c>
      <c r="DI65" s="1">
        <f t="shared" si="122"/>
        <v>22.5</v>
      </c>
      <c r="DJ65" s="1">
        <f t="shared" si="121"/>
        <v>22.692307692307693</v>
      </c>
      <c r="DK65" s="1">
        <f t="shared" si="121"/>
        <v>22.884615384615383</v>
      </c>
      <c r="DL65" s="1">
        <f t="shared" si="115"/>
        <v>23.076923076923077</v>
      </c>
      <c r="DM65" s="1">
        <f t="shared" si="113"/>
        <v>23.26923076923077</v>
      </c>
      <c r="DN65" s="1">
        <f t="shared" si="113"/>
        <v>23.46153846153846</v>
      </c>
      <c r="DO65" s="1">
        <f t="shared" si="113"/>
        <v>23.653846153846153</v>
      </c>
      <c r="DP65" s="1">
        <f t="shared" si="113"/>
        <v>23.846153846153847</v>
      </c>
      <c r="DQ65" s="1">
        <f t="shared" si="113"/>
        <v>24.03846153846154</v>
      </c>
      <c r="DR65" s="1">
        <f t="shared" si="113"/>
        <v>24.23076923076923</v>
      </c>
      <c r="DS65" s="1">
        <f t="shared" si="113"/>
        <v>24.423076923076923</v>
      </c>
    </row>
    <row r="66" spans="1:123" x14ac:dyDescent="0.3">
      <c r="A66" s="81"/>
      <c r="B66" s="13" t="str">
        <f t="shared" si="99"/>
        <v>0x35</v>
      </c>
      <c r="C66" s="12">
        <f t="shared" si="101"/>
        <v>53</v>
      </c>
      <c r="D66" s="1">
        <f t="shared" si="128"/>
        <v>1.5094339622641511</v>
      </c>
      <c r="E66" s="1">
        <f t="shared" si="128"/>
        <v>1.6981132075471699</v>
      </c>
      <c r="F66" s="1">
        <f t="shared" si="128"/>
        <v>1.8867924528301887</v>
      </c>
      <c r="G66" s="1">
        <f t="shared" si="128"/>
        <v>2.0754716981132075</v>
      </c>
      <c r="H66" s="1">
        <f t="shared" si="128"/>
        <v>2.2641509433962264</v>
      </c>
      <c r="I66" s="1">
        <f t="shared" si="128"/>
        <v>2.4528301886792452</v>
      </c>
      <c r="J66" s="1">
        <f t="shared" si="128"/>
        <v>2.641509433962264</v>
      </c>
      <c r="K66" s="1">
        <f t="shared" si="128"/>
        <v>2.8301886792452828</v>
      </c>
      <c r="L66" s="1">
        <f t="shared" si="128"/>
        <v>3.0188679245283021</v>
      </c>
      <c r="M66" s="1">
        <f t="shared" si="128"/>
        <v>3.2075471698113209</v>
      </c>
      <c r="N66" s="1">
        <f t="shared" si="128"/>
        <v>3.3962264150943398</v>
      </c>
      <c r="O66" s="1">
        <f t="shared" si="128"/>
        <v>3.5849056603773586</v>
      </c>
      <c r="P66" s="1">
        <f t="shared" si="128"/>
        <v>3.7735849056603774</v>
      </c>
      <c r="Q66" s="1">
        <f t="shared" si="128"/>
        <v>3.9622641509433962</v>
      </c>
      <c r="R66" s="1">
        <f t="shared" si="128"/>
        <v>4.1509433962264151</v>
      </c>
      <c r="S66" s="1">
        <f t="shared" si="128"/>
        <v>4.3396226415094343</v>
      </c>
      <c r="T66" s="1">
        <f t="shared" si="126"/>
        <v>4.5283018867924527</v>
      </c>
      <c r="U66" s="1">
        <f t="shared" si="126"/>
        <v>4.716981132075472</v>
      </c>
      <c r="V66" s="1">
        <f t="shared" si="126"/>
        <v>4.9056603773584904</v>
      </c>
      <c r="W66" s="1">
        <f t="shared" si="126"/>
        <v>5.0943396226415096</v>
      </c>
      <c r="X66" s="1">
        <f t="shared" si="126"/>
        <v>5.283018867924528</v>
      </c>
      <c r="Y66" s="1">
        <f t="shared" si="126"/>
        <v>5.4716981132075473</v>
      </c>
      <c r="Z66" s="1">
        <f t="shared" si="126"/>
        <v>5.6603773584905657</v>
      </c>
      <c r="AA66" s="1">
        <f t="shared" si="126"/>
        <v>5.8490566037735849</v>
      </c>
      <c r="AB66" s="1">
        <f t="shared" si="126"/>
        <v>6.0377358490566042</v>
      </c>
      <c r="AC66" s="1">
        <f t="shared" si="126"/>
        <v>6.2264150943396226</v>
      </c>
      <c r="AD66" s="1">
        <f t="shared" si="126"/>
        <v>6.4150943396226419</v>
      </c>
      <c r="AE66" s="1">
        <f t="shared" si="126"/>
        <v>6.6037735849056602</v>
      </c>
      <c r="AF66" s="1">
        <f t="shared" si="126"/>
        <v>6.7924528301886795</v>
      </c>
      <c r="AG66" s="1">
        <f t="shared" si="126"/>
        <v>6.9811320754716979</v>
      </c>
      <c r="AH66" s="1">
        <f t="shared" si="126"/>
        <v>7.1698113207547172</v>
      </c>
      <c r="AI66" s="1">
        <f t="shared" si="130"/>
        <v>7.3584905660377355</v>
      </c>
      <c r="AJ66" s="1">
        <f t="shared" si="130"/>
        <v>7.5471698113207548</v>
      </c>
      <c r="AK66" s="1">
        <f t="shared" si="130"/>
        <v>7.7358490566037732</v>
      </c>
      <c r="AL66" s="1">
        <f t="shared" si="130"/>
        <v>7.9245283018867925</v>
      </c>
      <c r="AM66" s="1">
        <f t="shared" si="130"/>
        <v>8.1132075471698109</v>
      </c>
      <c r="AN66" s="1">
        <f t="shared" si="130"/>
        <v>8.3018867924528301</v>
      </c>
      <c r="AO66" s="1">
        <f t="shared" si="130"/>
        <v>8.4905660377358494</v>
      </c>
      <c r="AP66" s="1">
        <f t="shared" si="130"/>
        <v>8.6792452830188687</v>
      </c>
      <c r="AQ66" s="1">
        <f t="shared" si="130"/>
        <v>8.8679245283018862</v>
      </c>
      <c r="AR66" s="1">
        <f t="shared" si="130"/>
        <v>9.0566037735849054</v>
      </c>
      <c r="AS66" s="1">
        <f t="shared" si="130"/>
        <v>9.2452830188679247</v>
      </c>
      <c r="AT66" s="1">
        <f t="shared" si="130"/>
        <v>9.433962264150944</v>
      </c>
      <c r="AU66" s="1">
        <f t="shared" si="130"/>
        <v>9.6226415094339615</v>
      </c>
      <c r="AV66" s="1">
        <f t="shared" si="130"/>
        <v>9.8113207547169807</v>
      </c>
      <c r="AW66" s="1">
        <f t="shared" si="130"/>
        <v>10</v>
      </c>
      <c r="AX66" s="1">
        <f t="shared" si="130"/>
        <v>10.188679245283019</v>
      </c>
      <c r="AY66" s="1">
        <f t="shared" si="129"/>
        <v>10.377358490566039</v>
      </c>
      <c r="AZ66" s="1">
        <f t="shared" si="129"/>
        <v>10.566037735849056</v>
      </c>
      <c r="BA66" s="1">
        <f t="shared" si="129"/>
        <v>10.754716981132075</v>
      </c>
      <c r="BB66" s="1">
        <f t="shared" si="129"/>
        <v>10.943396226415095</v>
      </c>
      <c r="BC66" s="1">
        <f t="shared" si="127"/>
        <v>11.132075471698114</v>
      </c>
      <c r="BD66" s="1">
        <f t="shared" si="127"/>
        <v>11.320754716981131</v>
      </c>
      <c r="BE66" s="1">
        <f t="shared" si="127"/>
        <v>11.509433962264151</v>
      </c>
      <c r="BF66" s="1">
        <f t="shared" si="127"/>
        <v>11.69811320754717</v>
      </c>
      <c r="BG66" s="1">
        <f t="shared" si="127"/>
        <v>11.886792452830189</v>
      </c>
      <c r="BH66" s="1">
        <f t="shared" si="127"/>
        <v>12.075471698113208</v>
      </c>
      <c r="BI66" s="1">
        <f t="shared" si="127"/>
        <v>12.264150943396226</v>
      </c>
      <c r="BJ66" s="1">
        <f t="shared" si="127"/>
        <v>12.452830188679245</v>
      </c>
      <c r="BK66" s="1">
        <f t="shared" si="127"/>
        <v>12.641509433962264</v>
      </c>
      <c r="BL66" s="1">
        <f t="shared" si="127"/>
        <v>12.830188679245284</v>
      </c>
      <c r="BM66" s="1">
        <f t="shared" si="127"/>
        <v>13.018867924528301</v>
      </c>
      <c r="BN66" s="1">
        <f t="shared" si="127"/>
        <v>13.20754716981132</v>
      </c>
      <c r="BO66" s="1">
        <f t="shared" si="125"/>
        <v>13.39622641509434</v>
      </c>
      <c r="BP66" s="1">
        <f t="shared" si="125"/>
        <v>13.584905660377359</v>
      </c>
      <c r="BQ66" s="1">
        <f t="shared" si="123"/>
        <v>13.773584905660377</v>
      </c>
      <c r="BR66" s="1">
        <f t="shared" si="123"/>
        <v>13.962264150943396</v>
      </c>
      <c r="BS66" s="1">
        <f t="shared" si="123"/>
        <v>14.150943396226415</v>
      </c>
      <c r="BT66" s="1">
        <f t="shared" si="123"/>
        <v>14.339622641509434</v>
      </c>
      <c r="BU66" s="1">
        <f t="shared" si="123"/>
        <v>14.528301886792454</v>
      </c>
      <c r="BV66" s="1">
        <f t="shared" si="123"/>
        <v>14.716981132075471</v>
      </c>
      <c r="BW66" s="1">
        <f t="shared" si="123"/>
        <v>14.90566037735849</v>
      </c>
      <c r="BX66" s="1">
        <f t="shared" si="123"/>
        <v>15.09433962264151</v>
      </c>
      <c r="BY66" s="1">
        <f t="shared" si="123"/>
        <v>15.283018867924529</v>
      </c>
      <c r="BZ66" s="1">
        <f t="shared" si="123"/>
        <v>15.471698113207546</v>
      </c>
      <c r="CA66" s="1">
        <f t="shared" si="123"/>
        <v>15.660377358490566</v>
      </c>
      <c r="CB66" s="1">
        <f t="shared" si="123"/>
        <v>15.849056603773585</v>
      </c>
      <c r="CC66" s="1">
        <f t="shared" si="123"/>
        <v>16.037735849056602</v>
      </c>
      <c r="CD66" s="1">
        <f t="shared" si="123"/>
        <v>16.226415094339622</v>
      </c>
      <c r="CE66" s="1">
        <f t="shared" si="123"/>
        <v>16.415094339622641</v>
      </c>
      <c r="CF66" s="1">
        <f t="shared" si="124"/>
        <v>16.60377358490566</v>
      </c>
      <c r="CG66" s="1">
        <f t="shared" si="124"/>
        <v>16.79245283018868</v>
      </c>
      <c r="CH66" s="1">
        <f t="shared" si="124"/>
        <v>16.981132075471699</v>
      </c>
      <c r="CI66" s="1">
        <f t="shared" si="124"/>
        <v>17.169811320754718</v>
      </c>
      <c r="CJ66" s="1">
        <f t="shared" si="124"/>
        <v>17.358490566037737</v>
      </c>
      <c r="CK66" s="1">
        <f t="shared" si="124"/>
        <v>17.547169811320753</v>
      </c>
      <c r="CL66" s="1">
        <f t="shared" si="124"/>
        <v>17.735849056603772</v>
      </c>
      <c r="CM66" s="1">
        <f t="shared" si="124"/>
        <v>17.924528301886792</v>
      </c>
      <c r="CN66" s="1">
        <f t="shared" si="124"/>
        <v>18.113207547169811</v>
      </c>
      <c r="CO66" s="1">
        <f t="shared" si="124"/>
        <v>18.30188679245283</v>
      </c>
      <c r="CP66" s="1">
        <f t="shared" si="124"/>
        <v>18.490566037735849</v>
      </c>
      <c r="CQ66" s="1">
        <f t="shared" si="124"/>
        <v>18.679245283018869</v>
      </c>
      <c r="CR66" s="1">
        <f t="shared" si="124"/>
        <v>18.867924528301888</v>
      </c>
      <c r="CS66" s="1">
        <f t="shared" si="124"/>
        <v>19.056603773584907</v>
      </c>
      <c r="CT66" s="1">
        <f t="shared" si="124"/>
        <v>19.245283018867923</v>
      </c>
      <c r="CU66" s="1">
        <f t="shared" ref="CU66:DJ76" si="131">IF($U$3=0,0,($U$2*CU$13)/($C66*$U$3))</f>
        <v>19.433962264150942</v>
      </c>
      <c r="CV66" s="1">
        <f t="shared" si="131"/>
        <v>19.622641509433961</v>
      </c>
      <c r="CW66" s="1">
        <f t="shared" si="131"/>
        <v>19.811320754716981</v>
      </c>
      <c r="CX66" s="1">
        <f t="shared" si="131"/>
        <v>20</v>
      </c>
      <c r="CY66" s="1">
        <f t="shared" si="131"/>
        <v>20.188679245283019</v>
      </c>
      <c r="CZ66" s="1">
        <f t="shared" si="131"/>
        <v>20.377358490566039</v>
      </c>
      <c r="DA66" s="1">
        <f t="shared" si="131"/>
        <v>20.566037735849058</v>
      </c>
      <c r="DB66" s="1">
        <f t="shared" si="131"/>
        <v>20.754716981132077</v>
      </c>
      <c r="DC66" s="1">
        <f t="shared" si="131"/>
        <v>20.943396226415093</v>
      </c>
      <c r="DD66" s="1">
        <f t="shared" si="131"/>
        <v>21.132075471698112</v>
      </c>
      <c r="DE66" s="1">
        <f t="shared" si="131"/>
        <v>21.320754716981131</v>
      </c>
      <c r="DF66" s="1">
        <f t="shared" si="131"/>
        <v>21.509433962264151</v>
      </c>
      <c r="DG66" s="1">
        <f t="shared" si="131"/>
        <v>21.69811320754717</v>
      </c>
      <c r="DH66" s="1">
        <f t="shared" si="131"/>
        <v>21.886792452830189</v>
      </c>
      <c r="DI66" s="1">
        <f t="shared" si="131"/>
        <v>22.075471698113208</v>
      </c>
      <c r="DJ66" s="1">
        <f t="shared" si="131"/>
        <v>22.264150943396228</v>
      </c>
      <c r="DK66" s="1">
        <f t="shared" si="121"/>
        <v>22.452830188679247</v>
      </c>
      <c r="DL66" s="1">
        <f t="shared" si="115"/>
        <v>22.641509433962263</v>
      </c>
      <c r="DM66" s="1">
        <f t="shared" si="113"/>
        <v>22.830188679245282</v>
      </c>
      <c r="DN66" s="1">
        <f t="shared" si="113"/>
        <v>23.018867924528301</v>
      </c>
      <c r="DO66" s="1">
        <f t="shared" si="113"/>
        <v>23.20754716981132</v>
      </c>
      <c r="DP66" s="1">
        <f t="shared" si="113"/>
        <v>23.39622641509434</v>
      </c>
      <c r="DQ66" s="1">
        <f t="shared" si="113"/>
        <v>23.584905660377359</v>
      </c>
      <c r="DR66" s="1">
        <f t="shared" si="113"/>
        <v>23.773584905660378</v>
      </c>
      <c r="DS66" s="1">
        <f t="shared" si="113"/>
        <v>23.962264150943398</v>
      </c>
    </row>
    <row r="67" spans="1:123" x14ac:dyDescent="0.3">
      <c r="A67" s="81"/>
      <c r="B67" s="13" t="str">
        <f t="shared" si="99"/>
        <v>0x36</v>
      </c>
      <c r="C67" s="12">
        <f t="shared" si="101"/>
        <v>54</v>
      </c>
      <c r="D67" s="1">
        <f t="shared" si="128"/>
        <v>1.4814814814814814</v>
      </c>
      <c r="E67" s="1">
        <f t="shared" si="128"/>
        <v>1.6666666666666667</v>
      </c>
      <c r="F67" s="1">
        <f t="shared" si="128"/>
        <v>1.8518518518518519</v>
      </c>
      <c r="G67" s="1">
        <f t="shared" si="128"/>
        <v>2.0370370370370372</v>
      </c>
      <c r="H67" s="1">
        <f t="shared" si="128"/>
        <v>2.2222222222222223</v>
      </c>
      <c r="I67" s="1">
        <f t="shared" si="128"/>
        <v>2.4074074074074074</v>
      </c>
      <c r="J67" s="1">
        <f t="shared" si="128"/>
        <v>2.5925925925925926</v>
      </c>
      <c r="K67" s="1">
        <f t="shared" si="128"/>
        <v>2.7777777777777777</v>
      </c>
      <c r="L67" s="1">
        <f t="shared" si="128"/>
        <v>2.9629629629629628</v>
      </c>
      <c r="M67" s="1">
        <f t="shared" si="128"/>
        <v>3.1481481481481484</v>
      </c>
      <c r="N67" s="1">
        <f t="shared" si="128"/>
        <v>3.3333333333333335</v>
      </c>
      <c r="O67" s="1">
        <f t="shared" si="128"/>
        <v>3.5185185185185186</v>
      </c>
      <c r="P67" s="1">
        <f t="shared" si="128"/>
        <v>3.7037037037037037</v>
      </c>
      <c r="Q67" s="1">
        <f t="shared" si="128"/>
        <v>3.8888888888888888</v>
      </c>
      <c r="R67" s="1">
        <f t="shared" si="128"/>
        <v>4.0740740740740744</v>
      </c>
      <c r="S67" s="1">
        <f t="shared" si="128"/>
        <v>4.2592592592592595</v>
      </c>
      <c r="T67" s="1">
        <f t="shared" si="126"/>
        <v>4.4444444444444446</v>
      </c>
      <c r="U67" s="1">
        <f t="shared" si="126"/>
        <v>4.6296296296296298</v>
      </c>
      <c r="V67" s="1">
        <f t="shared" si="126"/>
        <v>4.8148148148148149</v>
      </c>
      <c r="W67" s="1">
        <f t="shared" si="126"/>
        <v>5</v>
      </c>
      <c r="X67" s="1">
        <f t="shared" si="126"/>
        <v>5.1851851851851851</v>
      </c>
      <c r="Y67" s="1">
        <f t="shared" si="126"/>
        <v>5.3703703703703702</v>
      </c>
      <c r="Z67" s="1">
        <f t="shared" si="126"/>
        <v>5.5555555555555554</v>
      </c>
      <c r="AA67" s="1">
        <f t="shared" si="126"/>
        <v>5.7407407407407405</v>
      </c>
      <c r="AB67" s="1">
        <f t="shared" si="126"/>
        <v>5.9259259259259256</v>
      </c>
      <c r="AC67" s="1">
        <f t="shared" si="126"/>
        <v>6.1111111111111107</v>
      </c>
      <c r="AD67" s="1">
        <f t="shared" si="126"/>
        <v>6.2962962962962967</v>
      </c>
      <c r="AE67" s="1">
        <f t="shared" si="126"/>
        <v>6.4814814814814818</v>
      </c>
      <c r="AF67" s="1">
        <f t="shared" si="126"/>
        <v>6.666666666666667</v>
      </c>
      <c r="AG67" s="1">
        <f t="shared" si="126"/>
        <v>6.8518518518518521</v>
      </c>
      <c r="AH67" s="1">
        <f t="shared" si="126"/>
        <v>7.0370370370370372</v>
      </c>
      <c r="AI67" s="1">
        <f t="shared" si="130"/>
        <v>7.2222222222222223</v>
      </c>
      <c r="AJ67" s="1">
        <f t="shared" si="130"/>
        <v>7.4074074074074074</v>
      </c>
      <c r="AK67" s="1">
        <f t="shared" si="130"/>
        <v>7.5925925925925926</v>
      </c>
      <c r="AL67" s="1">
        <f t="shared" si="130"/>
        <v>7.7777777777777777</v>
      </c>
      <c r="AM67" s="1">
        <f t="shared" si="130"/>
        <v>7.9629629629629628</v>
      </c>
      <c r="AN67" s="1">
        <f t="shared" si="130"/>
        <v>8.1481481481481488</v>
      </c>
      <c r="AO67" s="1">
        <f t="shared" si="130"/>
        <v>8.3333333333333339</v>
      </c>
      <c r="AP67" s="1">
        <f t="shared" si="130"/>
        <v>8.518518518518519</v>
      </c>
      <c r="AQ67" s="1">
        <f t="shared" si="130"/>
        <v>8.7037037037037042</v>
      </c>
      <c r="AR67" s="1">
        <f t="shared" si="130"/>
        <v>8.8888888888888893</v>
      </c>
      <c r="AS67" s="1">
        <f t="shared" si="130"/>
        <v>9.0740740740740744</v>
      </c>
      <c r="AT67" s="1">
        <f t="shared" si="130"/>
        <v>9.2592592592592595</v>
      </c>
      <c r="AU67" s="1">
        <f t="shared" si="130"/>
        <v>9.4444444444444446</v>
      </c>
      <c r="AV67" s="1">
        <f t="shared" si="130"/>
        <v>9.6296296296296298</v>
      </c>
      <c r="AW67" s="1">
        <f t="shared" si="130"/>
        <v>9.8148148148148149</v>
      </c>
      <c r="AX67" s="1">
        <f t="shared" si="130"/>
        <v>10</v>
      </c>
      <c r="AY67" s="1">
        <f t="shared" si="129"/>
        <v>10.185185185185185</v>
      </c>
      <c r="AZ67" s="1">
        <f t="shared" si="129"/>
        <v>10.37037037037037</v>
      </c>
      <c r="BA67" s="1">
        <f t="shared" si="129"/>
        <v>10.555555555555555</v>
      </c>
      <c r="BB67" s="1">
        <f t="shared" si="129"/>
        <v>10.74074074074074</v>
      </c>
      <c r="BC67" s="1">
        <f t="shared" si="127"/>
        <v>10.925925925925926</v>
      </c>
      <c r="BD67" s="1">
        <f t="shared" si="127"/>
        <v>11.111111111111111</v>
      </c>
      <c r="BE67" s="1">
        <f t="shared" si="127"/>
        <v>11.296296296296296</v>
      </c>
      <c r="BF67" s="1">
        <f t="shared" si="127"/>
        <v>11.481481481481481</v>
      </c>
      <c r="BG67" s="1">
        <f t="shared" si="127"/>
        <v>11.666666666666666</v>
      </c>
      <c r="BH67" s="1">
        <f t="shared" si="127"/>
        <v>11.851851851851851</v>
      </c>
      <c r="BI67" s="1">
        <f t="shared" si="127"/>
        <v>12.037037037037036</v>
      </c>
      <c r="BJ67" s="1">
        <f t="shared" si="127"/>
        <v>12.222222222222221</v>
      </c>
      <c r="BK67" s="1">
        <f t="shared" si="127"/>
        <v>12.407407407407407</v>
      </c>
      <c r="BL67" s="1">
        <f t="shared" si="127"/>
        <v>12.592592592592593</v>
      </c>
      <c r="BM67" s="1">
        <f t="shared" si="127"/>
        <v>12.777777777777779</v>
      </c>
      <c r="BN67" s="1">
        <f t="shared" si="127"/>
        <v>12.962962962962964</v>
      </c>
      <c r="BO67" s="1">
        <f t="shared" si="125"/>
        <v>13.148148148148149</v>
      </c>
      <c r="BP67" s="1">
        <f t="shared" si="125"/>
        <v>13.333333333333334</v>
      </c>
      <c r="BQ67" s="1">
        <f t="shared" si="123"/>
        <v>13.518518518518519</v>
      </c>
      <c r="BR67" s="1">
        <f t="shared" si="123"/>
        <v>13.703703703703704</v>
      </c>
      <c r="BS67" s="1">
        <f t="shared" si="123"/>
        <v>13.888888888888889</v>
      </c>
      <c r="BT67" s="1">
        <f t="shared" si="123"/>
        <v>14.074074074074074</v>
      </c>
      <c r="BU67" s="1">
        <f t="shared" si="123"/>
        <v>14.25925925925926</v>
      </c>
      <c r="BV67" s="1">
        <f t="shared" si="123"/>
        <v>14.444444444444445</v>
      </c>
      <c r="BW67" s="1">
        <f t="shared" si="123"/>
        <v>14.62962962962963</v>
      </c>
      <c r="BX67" s="1">
        <f t="shared" si="123"/>
        <v>14.814814814814815</v>
      </c>
      <c r="BY67" s="1">
        <f t="shared" si="123"/>
        <v>15</v>
      </c>
      <c r="BZ67" s="1">
        <f t="shared" si="123"/>
        <v>15.185185185185185</v>
      </c>
      <c r="CA67" s="1">
        <f t="shared" si="123"/>
        <v>15.37037037037037</v>
      </c>
      <c r="CB67" s="1">
        <f t="shared" si="123"/>
        <v>15.555555555555555</v>
      </c>
      <c r="CC67" s="1">
        <f t="shared" si="123"/>
        <v>15.74074074074074</v>
      </c>
      <c r="CD67" s="1">
        <f t="shared" si="123"/>
        <v>15.925925925925926</v>
      </c>
      <c r="CE67" s="1">
        <f t="shared" ref="CE67:CT76" si="132">IF($U$3=0,0,($U$2*CE$13)/($C67*$U$3))</f>
        <v>16.111111111111111</v>
      </c>
      <c r="CF67" s="1">
        <f t="shared" si="132"/>
        <v>16.296296296296298</v>
      </c>
      <c r="CG67" s="1">
        <f t="shared" si="132"/>
        <v>16.481481481481481</v>
      </c>
      <c r="CH67" s="1">
        <f t="shared" si="132"/>
        <v>16.666666666666668</v>
      </c>
      <c r="CI67" s="1">
        <f t="shared" si="132"/>
        <v>16.851851851851851</v>
      </c>
      <c r="CJ67" s="1">
        <f t="shared" si="132"/>
        <v>17.037037037037038</v>
      </c>
      <c r="CK67" s="1">
        <f t="shared" si="132"/>
        <v>17.222222222222221</v>
      </c>
      <c r="CL67" s="1">
        <f t="shared" si="132"/>
        <v>17.407407407407408</v>
      </c>
      <c r="CM67" s="1">
        <f t="shared" si="132"/>
        <v>17.592592592592592</v>
      </c>
      <c r="CN67" s="1">
        <f t="shared" si="132"/>
        <v>17.777777777777779</v>
      </c>
      <c r="CO67" s="1">
        <f t="shared" si="132"/>
        <v>17.962962962962962</v>
      </c>
      <c r="CP67" s="1">
        <f t="shared" si="132"/>
        <v>18.148148148148149</v>
      </c>
      <c r="CQ67" s="1">
        <f t="shared" si="132"/>
        <v>18.333333333333332</v>
      </c>
      <c r="CR67" s="1">
        <f t="shared" si="132"/>
        <v>18.518518518518519</v>
      </c>
      <c r="CS67" s="1">
        <f t="shared" si="132"/>
        <v>18.703703703703702</v>
      </c>
      <c r="CT67" s="1">
        <f t="shared" si="132"/>
        <v>18.888888888888889</v>
      </c>
      <c r="CU67" s="1">
        <f t="shared" si="131"/>
        <v>19.074074074074073</v>
      </c>
      <c r="CV67" s="1">
        <f t="shared" si="131"/>
        <v>19.25925925925926</v>
      </c>
      <c r="CW67" s="1">
        <f t="shared" si="131"/>
        <v>19.444444444444443</v>
      </c>
      <c r="CX67" s="1">
        <f t="shared" si="131"/>
        <v>19.62962962962963</v>
      </c>
      <c r="CY67" s="1">
        <f t="shared" si="131"/>
        <v>19.814814814814813</v>
      </c>
      <c r="CZ67" s="1">
        <f t="shared" si="131"/>
        <v>20</v>
      </c>
      <c r="DA67" s="1">
        <f t="shared" si="131"/>
        <v>20.185185185185187</v>
      </c>
      <c r="DB67" s="1">
        <f t="shared" si="131"/>
        <v>20.37037037037037</v>
      </c>
      <c r="DC67" s="1">
        <f t="shared" si="131"/>
        <v>20.555555555555557</v>
      </c>
      <c r="DD67" s="1">
        <f t="shared" si="131"/>
        <v>20.74074074074074</v>
      </c>
      <c r="DE67" s="1">
        <f t="shared" si="131"/>
        <v>20.925925925925927</v>
      </c>
      <c r="DF67" s="1">
        <f t="shared" si="131"/>
        <v>21.111111111111111</v>
      </c>
      <c r="DG67" s="1">
        <f t="shared" si="131"/>
        <v>21.296296296296298</v>
      </c>
      <c r="DH67" s="1">
        <f t="shared" si="131"/>
        <v>21.481481481481481</v>
      </c>
      <c r="DI67" s="1">
        <f t="shared" si="131"/>
        <v>21.666666666666668</v>
      </c>
      <c r="DJ67" s="1">
        <f t="shared" si="131"/>
        <v>21.851851851851851</v>
      </c>
      <c r="DK67" s="1">
        <f t="shared" si="121"/>
        <v>22.037037037037038</v>
      </c>
      <c r="DL67" s="1">
        <f t="shared" si="115"/>
        <v>22.222222222222221</v>
      </c>
      <c r="DM67" s="1">
        <f t="shared" si="113"/>
        <v>22.407407407407408</v>
      </c>
      <c r="DN67" s="1">
        <f t="shared" si="113"/>
        <v>22.592592592592592</v>
      </c>
      <c r="DO67" s="1">
        <f t="shared" si="113"/>
        <v>22.777777777777779</v>
      </c>
      <c r="DP67" s="1">
        <f t="shared" si="113"/>
        <v>22.962962962962962</v>
      </c>
      <c r="DQ67" s="1">
        <f t="shared" si="113"/>
        <v>23.148148148148149</v>
      </c>
      <c r="DR67" s="1">
        <f t="shared" si="113"/>
        <v>23.333333333333332</v>
      </c>
      <c r="DS67" s="1">
        <f t="shared" si="113"/>
        <v>23.518518518518519</v>
      </c>
    </row>
    <row r="68" spans="1:123" x14ac:dyDescent="0.3">
      <c r="A68" s="81"/>
      <c r="B68" s="13" t="str">
        <f t="shared" si="99"/>
        <v>0x37</v>
      </c>
      <c r="C68" s="12">
        <f t="shared" si="101"/>
        <v>55</v>
      </c>
      <c r="D68" s="1">
        <f t="shared" si="128"/>
        <v>1.4545454545454546</v>
      </c>
      <c r="E68" s="1">
        <f t="shared" si="128"/>
        <v>1.6363636363636365</v>
      </c>
      <c r="F68" s="1">
        <f t="shared" si="128"/>
        <v>1.8181818181818181</v>
      </c>
      <c r="G68" s="1">
        <f t="shared" si="128"/>
        <v>2</v>
      </c>
      <c r="H68" s="1">
        <f t="shared" si="128"/>
        <v>2.1818181818181817</v>
      </c>
      <c r="I68" s="1">
        <f t="shared" si="128"/>
        <v>2.3636363636363638</v>
      </c>
      <c r="J68" s="1">
        <f t="shared" si="128"/>
        <v>2.5454545454545454</v>
      </c>
      <c r="K68" s="1">
        <f t="shared" si="128"/>
        <v>2.7272727272727271</v>
      </c>
      <c r="L68" s="1">
        <f t="shared" si="128"/>
        <v>2.9090909090909092</v>
      </c>
      <c r="M68" s="1">
        <f t="shared" si="128"/>
        <v>3.0909090909090908</v>
      </c>
      <c r="N68" s="1">
        <f t="shared" si="128"/>
        <v>3.2727272727272729</v>
      </c>
      <c r="O68" s="1">
        <f t="shared" si="128"/>
        <v>3.4545454545454546</v>
      </c>
      <c r="P68" s="1">
        <f t="shared" si="128"/>
        <v>3.6363636363636362</v>
      </c>
      <c r="Q68" s="1">
        <f t="shared" si="128"/>
        <v>3.8181818181818183</v>
      </c>
      <c r="R68" s="1">
        <f t="shared" si="128"/>
        <v>4</v>
      </c>
      <c r="S68" s="1">
        <f t="shared" si="128"/>
        <v>4.1818181818181817</v>
      </c>
      <c r="T68" s="1">
        <f t="shared" si="126"/>
        <v>4.3636363636363633</v>
      </c>
      <c r="U68" s="1">
        <f t="shared" si="126"/>
        <v>4.5454545454545459</v>
      </c>
      <c r="V68" s="1">
        <f t="shared" si="126"/>
        <v>4.7272727272727275</v>
      </c>
      <c r="W68" s="1">
        <f t="shared" si="126"/>
        <v>4.9090909090909092</v>
      </c>
      <c r="X68" s="1">
        <f t="shared" si="126"/>
        <v>5.0909090909090908</v>
      </c>
      <c r="Y68" s="1">
        <f t="shared" si="126"/>
        <v>5.2727272727272725</v>
      </c>
      <c r="Z68" s="1">
        <f t="shared" si="126"/>
        <v>5.4545454545454541</v>
      </c>
      <c r="AA68" s="1">
        <f t="shared" si="126"/>
        <v>5.6363636363636367</v>
      </c>
      <c r="AB68" s="1">
        <f t="shared" si="126"/>
        <v>5.8181818181818183</v>
      </c>
      <c r="AC68" s="1">
        <f t="shared" si="126"/>
        <v>6</v>
      </c>
      <c r="AD68" s="1">
        <f t="shared" si="126"/>
        <v>6.1818181818181817</v>
      </c>
      <c r="AE68" s="1">
        <f t="shared" si="126"/>
        <v>6.3636363636363633</v>
      </c>
      <c r="AF68" s="1">
        <f t="shared" si="126"/>
        <v>6.5454545454545459</v>
      </c>
      <c r="AG68" s="1">
        <f t="shared" si="126"/>
        <v>6.7272727272727275</v>
      </c>
      <c r="AH68" s="1">
        <f t="shared" si="126"/>
        <v>6.9090909090909092</v>
      </c>
      <c r="AI68" s="1">
        <f t="shared" si="130"/>
        <v>7.0909090909090908</v>
      </c>
      <c r="AJ68" s="1">
        <f t="shared" si="130"/>
        <v>7.2727272727272725</v>
      </c>
      <c r="AK68" s="1">
        <f t="shared" si="130"/>
        <v>7.4545454545454541</v>
      </c>
      <c r="AL68" s="1">
        <f t="shared" si="130"/>
        <v>7.6363636363636367</v>
      </c>
      <c r="AM68" s="1">
        <f t="shared" si="130"/>
        <v>7.8181818181818183</v>
      </c>
      <c r="AN68" s="1">
        <f t="shared" si="130"/>
        <v>8</v>
      </c>
      <c r="AO68" s="1">
        <f t="shared" si="130"/>
        <v>8.1818181818181817</v>
      </c>
      <c r="AP68" s="1">
        <f t="shared" si="130"/>
        <v>8.3636363636363633</v>
      </c>
      <c r="AQ68" s="1">
        <f t="shared" si="130"/>
        <v>8.545454545454545</v>
      </c>
      <c r="AR68" s="1">
        <f t="shared" si="130"/>
        <v>8.7272727272727266</v>
      </c>
      <c r="AS68" s="1">
        <f t="shared" si="130"/>
        <v>8.9090909090909083</v>
      </c>
      <c r="AT68" s="1">
        <f t="shared" si="130"/>
        <v>9.0909090909090917</v>
      </c>
      <c r="AU68" s="1">
        <f t="shared" si="130"/>
        <v>9.2727272727272734</v>
      </c>
      <c r="AV68" s="1">
        <f t="shared" si="130"/>
        <v>9.454545454545455</v>
      </c>
      <c r="AW68" s="1">
        <f t="shared" si="130"/>
        <v>9.6363636363636367</v>
      </c>
      <c r="AX68" s="1">
        <f t="shared" si="130"/>
        <v>9.8181818181818183</v>
      </c>
      <c r="AY68" s="1">
        <f t="shared" si="129"/>
        <v>10</v>
      </c>
      <c r="AZ68" s="1">
        <f t="shared" si="129"/>
        <v>10.181818181818182</v>
      </c>
      <c r="BA68" s="1">
        <f t="shared" si="129"/>
        <v>10.363636363636363</v>
      </c>
      <c r="BB68" s="1">
        <f t="shared" si="129"/>
        <v>10.545454545454545</v>
      </c>
      <c r="BC68" s="1">
        <f t="shared" si="127"/>
        <v>10.727272727272727</v>
      </c>
      <c r="BD68" s="1">
        <f t="shared" si="127"/>
        <v>10.909090909090908</v>
      </c>
      <c r="BE68" s="1">
        <f t="shared" si="127"/>
        <v>11.090909090909092</v>
      </c>
      <c r="BF68" s="1">
        <f t="shared" si="127"/>
        <v>11.272727272727273</v>
      </c>
      <c r="BG68" s="1">
        <f t="shared" si="127"/>
        <v>11.454545454545455</v>
      </c>
      <c r="BH68" s="1">
        <f t="shared" si="127"/>
        <v>11.636363636363637</v>
      </c>
      <c r="BI68" s="1">
        <f t="shared" si="127"/>
        <v>11.818181818181818</v>
      </c>
      <c r="BJ68" s="1">
        <f t="shared" si="127"/>
        <v>12</v>
      </c>
      <c r="BK68" s="1">
        <f t="shared" si="127"/>
        <v>12.181818181818182</v>
      </c>
      <c r="BL68" s="1">
        <f t="shared" si="127"/>
        <v>12.363636363636363</v>
      </c>
      <c r="BM68" s="1">
        <f t="shared" si="127"/>
        <v>12.545454545454545</v>
      </c>
      <c r="BN68" s="1">
        <f t="shared" si="127"/>
        <v>12.727272727272727</v>
      </c>
      <c r="BO68" s="1">
        <f t="shared" si="125"/>
        <v>12.909090909090908</v>
      </c>
      <c r="BP68" s="1">
        <f t="shared" si="125"/>
        <v>13.090909090909092</v>
      </c>
      <c r="BQ68" s="1">
        <f t="shared" si="125"/>
        <v>13.272727272727273</v>
      </c>
      <c r="BR68" s="1">
        <f t="shared" si="125"/>
        <v>13.454545454545455</v>
      </c>
      <c r="BS68" s="1">
        <f t="shared" si="125"/>
        <v>13.636363636363637</v>
      </c>
      <c r="BT68" s="1">
        <f t="shared" si="125"/>
        <v>13.818181818181818</v>
      </c>
      <c r="BU68" s="1">
        <f t="shared" si="125"/>
        <v>14</v>
      </c>
      <c r="BV68" s="1">
        <f t="shared" si="125"/>
        <v>14.181818181818182</v>
      </c>
      <c r="BW68" s="1">
        <f t="shared" si="125"/>
        <v>14.363636363636363</v>
      </c>
      <c r="BX68" s="1">
        <f t="shared" si="125"/>
        <v>14.545454545454545</v>
      </c>
      <c r="BY68" s="1">
        <f t="shared" si="125"/>
        <v>14.727272727272727</v>
      </c>
      <c r="BZ68" s="1">
        <f t="shared" si="125"/>
        <v>14.909090909090908</v>
      </c>
      <c r="CA68" s="1">
        <f t="shared" si="125"/>
        <v>15.090909090909092</v>
      </c>
      <c r="CB68" s="1">
        <f t="shared" si="125"/>
        <v>15.272727272727273</v>
      </c>
      <c r="CC68" s="1">
        <f t="shared" si="125"/>
        <v>15.454545454545455</v>
      </c>
      <c r="CD68" s="1">
        <f t="shared" ref="CD68:CS76" si="133">IF($U$3=0,0,($U$2*CD$13)/($C68*$U$3))</f>
        <v>15.636363636363637</v>
      </c>
      <c r="CE68" s="1">
        <f t="shared" si="133"/>
        <v>15.818181818181818</v>
      </c>
      <c r="CF68" s="1">
        <f t="shared" si="133"/>
        <v>16</v>
      </c>
      <c r="CG68" s="1">
        <f t="shared" si="133"/>
        <v>16.181818181818183</v>
      </c>
      <c r="CH68" s="1">
        <f t="shared" si="133"/>
        <v>16.363636363636363</v>
      </c>
      <c r="CI68" s="1">
        <f t="shared" si="133"/>
        <v>16.545454545454547</v>
      </c>
      <c r="CJ68" s="1">
        <f t="shared" si="133"/>
        <v>16.727272727272727</v>
      </c>
      <c r="CK68" s="1">
        <f t="shared" si="133"/>
        <v>16.90909090909091</v>
      </c>
      <c r="CL68" s="1">
        <f t="shared" si="133"/>
        <v>17.09090909090909</v>
      </c>
      <c r="CM68" s="1">
        <f t="shared" si="133"/>
        <v>17.272727272727273</v>
      </c>
      <c r="CN68" s="1">
        <f t="shared" si="133"/>
        <v>17.454545454545453</v>
      </c>
      <c r="CO68" s="1">
        <f t="shared" si="133"/>
        <v>17.636363636363637</v>
      </c>
      <c r="CP68" s="1">
        <f t="shared" si="133"/>
        <v>17.818181818181817</v>
      </c>
      <c r="CQ68" s="1">
        <f t="shared" si="133"/>
        <v>18</v>
      </c>
      <c r="CR68" s="1">
        <f t="shared" si="133"/>
        <v>18.181818181818183</v>
      </c>
      <c r="CS68" s="1">
        <f t="shared" si="133"/>
        <v>18.363636363636363</v>
      </c>
      <c r="CT68" s="1">
        <f t="shared" si="132"/>
        <v>18.545454545454547</v>
      </c>
      <c r="CU68" s="1">
        <f t="shared" si="131"/>
        <v>18.727272727272727</v>
      </c>
      <c r="CV68" s="1">
        <f t="shared" si="131"/>
        <v>18.90909090909091</v>
      </c>
      <c r="CW68" s="1">
        <f t="shared" si="131"/>
        <v>19.09090909090909</v>
      </c>
      <c r="CX68" s="1">
        <f t="shared" si="131"/>
        <v>19.272727272727273</v>
      </c>
      <c r="CY68" s="1">
        <f t="shared" si="131"/>
        <v>19.454545454545453</v>
      </c>
      <c r="CZ68" s="1">
        <f t="shared" si="131"/>
        <v>19.636363636363637</v>
      </c>
      <c r="DA68" s="1">
        <f t="shared" si="131"/>
        <v>19.818181818181817</v>
      </c>
      <c r="DB68" s="1">
        <f t="shared" si="131"/>
        <v>20</v>
      </c>
      <c r="DC68" s="1">
        <f t="shared" si="131"/>
        <v>20.181818181818183</v>
      </c>
      <c r="DD68" s="1">
        <f t="shared" si="131"/>
        <v>20.363636363636363</v>
      </c>
      <c r="DE68" s="1">
        <f t="shared" si="131"/>
        <v>20.545454545454547</v>
      </c>
      <c r="DF68" s="1">
        <f t="shared" si="131"/>
        <v>20.727272727272727</v>
      </c>
      <c r="DG68" s="1">
        <f t="shared" si="131"/>
        <v>20.90909090909091</v>
      </c>
      <c r="DH68" s="1">
        <f t="shared" si="131"/>
        <v>21.09090909090909</v>
      </c>
      <c r="DI68" s="1">
        <f t="shared" si="131"/>
        <v>21.272727272727273</v>
      </c>
      <c r="DJ68" s="1">
        <f t="shared" si="131"/>
        <v>21.454545454545453</v>
      </c>
      <c r="DK68" s="1">
        <f t="shared" si="121"/>
        <v>21.636363636363637</v>
      </c>
      <c r="DL68" s="1">
        <f t="shared" si="115"/>
        <v>21.818181818181817</v>
      </c>
      <c r="DM68" s="1">
        <f t="shared" si="113"/>
        <v>22</v>
      </c>
      <c r="DN68" s="1">
        <f t="shared" si="113"/>
        <v>22.181818181818183</v>
      </c>
      <c r="DO68" s="1">
        <f t="shared" si="113"/>
        <v>22.363636363636363</v>
      </c>
      <c r="DP68" s="1">
        <f t="shared" si="113"/>
        <v>22.545454545454547</v>
      </c>
      <c r="DQ68" s="1">
        <f t="shared" si="113"/>
        <v>22.727272727272727</v>
      </c>
      <c r="DR68" s="1">
        <f t="shared" si="113"/>
        <v>22.90909090909091</v>
      </c>
      <c r="DS68" s="1">
        <f t="shared" si="113"/>
        <v>23.09090909090909</v>
      </c>
    </row>
    <row r="69" spans="1:123" x14ac:dyDescent="0.3">
      <c r="A69" s="81"/>
      <c r="B69" s="13" t="str">
        <f t="shared" si="99"/>
        <v>0x38</v>
      </c>
      <c r="C69" s="12">
        <f t="shared" si="101"/>
        <v>56</v>
      </c>
      <c r="D69" s="1">
        <f t="shared" si="128"/>
        <v>1.4285714285714286</v>
      </c>
      <c r="E69" s="1">
        <f t="shared" si="128"/>
        <v>1.6071428571428572</v>
      </c>
      <c r="F69" s="1">
        <f t="shared" si="128"/>
        <v>1.7857142857142858</v>
      </c>
      <c r="G69" s="1">
        <f t="shared" si="128"/>
        <v>1.9642857142857142</v>
      </c>
      <c r="H69" s="1">
        <f t="shared" si="128"/>
        <v>2.1428571428571428</v>
      </c>
      <c r="I69" s="1">
        <f t="shared" si="128"/>
        <v>2.3214285714285716</v>
      </c>
      <c r="J69" s="1">
        <f t="shared" si="128"/>
        <v>2.5</v>
      </c>
      <c r="K69" s="1">
        <f t="shared" si="128"/>
        <v>2.6785714285714284</v>
      </c>
      <c r="L69" s="1">
        <f t="shared" si="128"/>
        <v>2.8571428571428572</v>
      </c>
      <c r="M69" s="1">
        <f t="shared" si="128"/>
        <v>3.0357142857142856</v>
      </c>
      <c r="N69" s="1">
        <f t="shared" si="128"/>
        <v>3.2142857142857144</v>
      </c>
      <c r="O69" s="1">
        <f t="shared" si="128"/>
        <v>3.3928571428571428</v>
      </c>
      <c r="P69" s="1">
        <f t="shared" si="128"/>
        <v>3.5714285714285716</v>
      </c>
      <c r="Q69" s="1">
        <f t="shared" si="128"/>
        <v>3.75</v>
      </c>
      <c r="R69" s="1">
        <f t="shared" si="128"/>
        <v>3.9285714285714284</v>
      </c>
      <c r="S69" s="1">
        <f t="shared" ref="S69:AH76" si="134">IF($U$3=0,0,($U$2*S$13)/($C69*$U$3))</f>
        <v>4.1071428571428568</v>
      </c>
      <c r="T69" s="1">
        <f t="shared" si="134"/>
        <v>4.2857142857142856</v>
      </c>
      <c r="U69" s="1">
        <f t="shared" si="134"/>
        <v>4.4642857142857144</v>
      </c>
      <c r="V69" s="1">
        <f t="shared" si="134"/>
        <v>4.6428571428571432</v>
      </c>
      <c r="W69" s="1">
        <f t="shared" si="134"/>
        <v>4.8214285714285712</v>
      </c>
      <c r="X69" s="1">
        <f t="shared" si="134"/>
        <v>5</v>
      </c>
      <c r="Y69" s="1">
        <f t="shared" si="134"/>
        <v>5.1785714285714288</v>
      </c>
      <c r="Z69" s="1">
        <f t="shared" si="134"/>
        <v>5.3571428571428568</v>
      </c>
      <c r="AA69" s="1">
        <f t="shared" si="134"/>
        <v>5.5357142857142856</v>
      </c>
      <c r="AB69" s="1">
        <f t="shared" si="134"/>
        <v>5.7142857142857144</v>
      </c>
      <c r="AC69" s="1">
        <f t="shared" si="134"/>
        <v>5.8928571428571432</v>
      </c>
      <c r="AD69" s="1">
        <f t="shared" si="134"/>
        <v>6.0714285714285712</v>
      </c>
      <c r="AE69" s="1">
        <f t="shared" si="134"/>
        <v>6.25</v>
      </c>
      <c r="AF69" s="1">
        <f t="shared" si="134"/>
        <v>6.4285714285714288</v>
      </c>
      <c r="AG69" s="1">
        <f t="shared" si="134"/>
        <v>6.6071428571428568</v>
      </c>
      <c r="AH69" s="1">
        <f t="shared" si="134"/>
        <v>6.7857142857142856</v>
      </c>
      <c r="AI69" s="1">
        <f t="shared" si="130"/>
        <v>6.9642857142857144</v>
      </c>
      <c r="AJ69" s="1">
        <f t="shared" si="130"/>
        <v>7.1428571428571432</v>
      </c>
      <c r="AK69" s="1">
        <f t="shared" si="130"/>
        <v>7.3214285714285712</v>
      </c>
      <c r="AL69" s="1">
        <f t="shared" si="130"/>
        <v>7.5</v>
      </c>
      <c r="AM69" s="1">
        <f t="shared" si="130"/>
        <v>7.6785714285714288</v>
      </c>
      <c r="AN69" s="1">
        <f t="shared" si="130"/>
        <v>7.8571428571428568</v>
      </c>
      <c r="AO69" s="1">
        <f t="shared" si="130"/>
        <v>8.0357142857142865</v>
      </c>
      <c r="AP69" s="1">
        <f t="shared" si="130"/>
        <v>8.2142857142857135</v>
      </c>
      <c r="AQ69" s="1">
        <f t="shared" si="130"/>
        <v>8.3928571428571423</v>
      </c>
      <c r="AR69" s="1">
        <f t="shared" si="130"/>
        <v>8.5714285714285712</v>
      </c>
      <c r="AS69" s="1">
        <f t="shared" si="130"/>
        <v>8.75</v>
      </c>
      <c r="AT69" s="1">
        <f t="shared" si="130"/>
        <v>8.9285714285714288</v>
      </c>
      <c r="AU69" s="1">
        <f t="shared" si="130"/>
        <v>9.1071428571428577</v>
      </c>
      <c r="AV69" s="1">
        <f t="shared" si="130"/>
        <v>9.2857142857142865</v>
      </c>
      <c r="AW69" s="1">
        <f t="shared" si="130"/>
        <v>9.4642857142857135</v>
      </c>
      <c r="AX69" s="1">
        <f t="shared" si="130"/>
        <v>9.6428571428571423</v>
      </c>
      <c r="AY69" s="1">
        <f t="shared" si="129"/>
        <v>9.8214285714285712</v>
      </c>
      <c r="AZ69" s="1">
        <f t="shared" si="129"/>
        <v>10</v>
      </c>
      <c r="BA69" s="1">
        <f t="shared" si="129"/>
        <v>10.178571428571429</v>
      </c>
      <c r="BB69" s="1">
        <f t="shared" si="129"/>
        <v>10.357142857142858</v>
      </c>
      <c r="BC69" s="1">
        <f t="shared" si="127"/>
        <v>10.535714285714286</v>
      </c>
      <c r="BD69" s="1">
        <f t="shared" si="127"/>
        <v>10.714285714285714</v>
      </c>
      <c r="BE69" s="1">
        <f t="shared" si="127"/>
        <v>10.892857142857142</v>
      </c>
      <c r="BF69" s="1">
        <f t="shared" si="127"/>
        <v>11.071428571428571</v>
      </c>
      <c r="BG69" s="1">
        <f t="shared" si="127"/>
        <v>11.25</v>
      </c>
      <c r="BH69" s="1">
        <f t="shared" si="127"/>
        <v>11.428571428571429</v>
      </c>
      <c r="BI69" s="1">
        <f t="shared" si="127"/>
        <v>11.607142857142858</v>
      </c>
      <c r="BJ69" s="1">
        <f t="shared" si="127"/>
        <v>11.785714285714286</v>
      </c>
      <c r="BK69" s="1">
        <f t="shared" si="127"/>
        <v>11.964285714285714</v>
      </c>
      <c r="BL69" s="1">
        <f t="shared" si="127"/>
        <v>12.142857142857142</v>
      </c>
      <c r="BM69" s="1">
        <f t="shared" si="127"/>
        <v>12.321428571428571</v>
      </c>
      <c r="BN69" s="1">
        <f t="shared" si="127"/>
        <v>12.5</v>
      </c>
      <c r="BO69" s="1">
        <f t="shared" si="125"/>
        <v>12.678571428571429</v>
      </c>
      <c r="BP69" s="1">
        <f t="shared" si="125"/>
        <v>12.857142857142858</v>
      </c>
      <c r="BQ69" s="1">
        <f t="shared" si="125"/>
        <v>13.035714285714286</v>
      </c>
      <c r="BR69" s="1">
        <f t="shared" si="125"/>
        <v>13.214285714285714</v>
      </c>
      <c r="BS69" s="1">
        <f t="shared" si="125"/>
        <v>13.392857142857142</v>
      </c>
      <c r="BT69" s="1">
        <f t="shared" si="125"/>
        <v>13.571428571428571</v>
      </c>
      <c r="BU69" s="1">
        <f t="shared" si="125"/>
        <v>13.75</v>
      </c>
      <c r="BV69" s="1">
        <f t="shared" si="125"/>
        <v>13.928571428571429</v>
      </c>
      <c r="BW69" s="1">
        <f t="shared" si="125"/>
        <v>14.107142857142858</v>
      </c>
      <c r="BX69" s="1">
        <f t="shared" si="125"/>
        <v>14.285714285714286</v>
      </c>
      <c r="BY69" s="1">
        <f t="shared" si="125"/>
        <v>14.464285714285714</v>
      </c>
      <c r="BZ69" s="1">
        <f t="shared" si="125"/>
        <v>14.642857142857142</v>
      </c>
      <c r="CA69" s="1">
        <f t="shared" si="125"/>
        <v>14.821428571428571</v>
      </c>
      <c r="CB69" s="1">
        <f t="shared" si="125"/>
        <v>15</v>
      </c>
      <c r="CC69" s="1">
        <f t="shared" si="125"/>
        <v>15.178571428571429</v>
      </c>
      <c r="CD69" s="1">
        <f t="shared" si="133"/>
        <v>15.357142857142858</v>
      </c>
      <c r="CE69" s="1">
        <f t="shared" si="133"/>
        <v>15.535714285714286</v>
      </c>
      <c r="CF69" s="1">
        <f t="shared" si="133"/>
        <v>15.714285714285714</v>
      </c>
      <c r="CG69" s="1">
        <f t="shared" si="133"/>
        <v>15.892857142857142</v>
      </c>
      <c r="CH69" s="1">
        <f t="shared" si="133"/>
        <v>16.071428571428573</v>
      </c>
      <c r="CI69" s="1">
        <f t="shared" si="133"/>
        <v>16.25</v>
      </c>
      <c r="CJ69" s="1">
        <f t="shared" si="133"/>
        <v>16.428571428571427</v>
      </c>
      <c r="CK69" s="1">
        <f t="shared" si="133"/>
        <v>16.607142857142858</v>
      </c>
      <c r="CL69" s="1">
        <f t="shared" si="133"/>
        <v>16.785714285714285</v>
      </c>
      <c r="CM69" s="1">
        <f t="shared" si="133"/>
        <v>16.964285714285715</v>
      </c>
      <c r="CN69" s="1">
        <f t="shared" si="133"/>
        <v>17.142857142857142</v>
      </c>
      <c r="CO69" s="1">
        <f t="shared" si="133"/>
        <v>17.321428571428573</v>
      </c>
      <c r="CP69" s="1">
        <f t="shared" si="133"/>
        <v>17.5</v>
      </c>
      <c r="CQ69" s="1">
        <f t="shared" si="133"/>
        <v>17.678571428571427</v>
      </c>
      <c r="CR69" s="1">
        <f t="shared" si="133"/>
        <v>17.857142857142858</v>
      </c>
      <c r="CS69" s="1">
        <f t="shared" si="133"/>
        <v>18.035714285714285</v>
      </c>
      <c r="CT69" s="1">
        <f t="shared" si="132"/>
        <v>18.214285714285715</v>
      </c>
      <c r="CU69" s="1">
        <f t="shared" si="131"/>
        <v>18.392857142857142</v>
      </c>
      <c r="CV69" s="1">
        <f t="shared" si="131"/>
        <v>18.571428571428573</v>
      </c>
      <c r="CW69" s="1">
        <f t="shared" si="131"/>
        <v>18.75</v>
      </c>
      <c r="CX69" s="1">
        <f t="shared" si="131"/>
        <v>18.928571428571427</v>
      </c>
      <c r="CY69" s="1">
        <f t="shared" si="131"/>
        <v>19.107142857142858</v>
      </c>
      <c r="CZ69" s="1">
        <f t="shared" si="131"/>
        <v>19.285714285714285</v>
      </c>
      <c r="DA69" s="1">
        <f t="shared" si="131"/>
        <v>19.464285714285715</v>
      </c>
      <c r="DB69" s="1">
        <f t="shared" si="131"/>
        <v>19.642857142857142</v>
      </c>
      <c r="DC69" s="1">
        <f t="shared" si="131"/>
        <v>19.821428571428573</v>
      </c>
      <c r="DD69" s="1">
        <f t="shared" si="131"/>
        <v>20</v>
      </c>
      <c r="DE69" s="1">
        <f t="shared" si="131"/>
        <v>20.178571428571427</v>
      </c>
      <c r="DF69" s="1">
        <f t="shared" si="131"/>
        <v>20.357142857142858</v>
      </c>
      <c r="DG69" s="1">
        <f t="shared" si="131"/>
        <v>20.535714285714285</v>
      </c>
      <c r="DH69" s="1">
        <f t="shared" si="131"/>
        <v>20.714285714285715</v>
      </c>
      <c r="DI69" s="1">
        <f t="shared" si="131"/>
        <v>20.892857142857142</v>
      </c>
      <c r="DJ69" s="1">
        <f t="shared" si="131"/>
        <v>21.071428571428573</v>
      </c>
      <c r="DK69" s="1">
        <f t="shared" si="121"/>
        <v>21.25</v>
      </c>
      <c r="DL69" s="1">
        <f t="shared" si="115"/>
        <v>21.428571428571427</v>
      </c>
      <c r="DM69" s="1">
        <f t="shared" si="113"/>
        <v>21.607142857142858</v>
      </c>
      <c r="DN69" s="1">
        <f t="shared" si="113"/>
        <v>21.785714285714285</v>
      </c>
      <c r="DO69" s="1">
        <f t="shared" si="113"/>
        <v>21.964285714285715</v>
      </c>
      <c r="DP69" s="1">
        <f t="shared" si="113"/>
        <v>22.142857142857142</v>
      </c>
      <c r="DQ69" s="1">
        <f t="shared" si="113"/>
        <v>22.321428571428573</v>
      </c>
      <c r="DR69" s="1">
        <f t="shared" si="113"/>
        <v>22.5</v>
      </c>
      <c r="DS69" s="1">
        <f t="shared" si="113"/>
        <v>22.678571428571427</v>
      </c>
    </row>
    <row r="70" spans="1:123" x14ac:dyDescent="0.3">
      <c r="A70" s="81"/>
      <c r="B70" s="13" t="str">
        <f t="shared" si="99"/>
        <v>0x39</v>
      </c>
      <c r="C70" s="12">
        <f t="shared" si="101"/>
        <v>57</v>
      </c>
      <c r="D70" s="1">
        <f t="shared" ref="D70:S76" si="135">IF($U$3=0,0,($U$2*D$13)/($C70*$U$3))</f>
        <v>1.4035087719298245</v>
      </c>
      <c r="E70" s="1">
        <f t="shared" si="135"/>
        <v>1.5789473684210527</v>
      </c>
      <c r="F70" s="1">
        <f t="shared" si="135"/>
        <v>1.7543859649122806</v>
      </c>
      <c r="G70" s="1">
        <f t="shared" si="135"/>
        <v>1.9298245614035088</v>
      </c>
      <c r="H70" s="1">
        <f t="shared" si="135"/>
        <v>2.1052631578947367</v>
      </c>
      <c r="I70" s="1">
        <f t="shared" si="135"/>
        <v>2.2807017543859649</v>
      </c>
      <c r="J70" s="1">
        <f t="shared" si="135"/>
        <v>2.4561403508771931</v>
      </c>
      <c r="K70" s="1">
        <f t="shared" si="135"/>
        <v>2.6315789473684212</v>
      </c>
      <c r="L70" s="1">
        <f t="shared" si="135"/>
        <v>2.807017543859649</v>
      </c>
      <c r="M70" s="1">
        <f t="shared" si="135"/>
        <v>2.9824561403508771</v>
      </c>
      <c r="N70" s="1">
        <f t="shared" si="135"/>
        <v>3.1578947368421053</v>
      </c>
      <c r="O70" s="1">
        <f t="shared" si="135"/>
        <v>3.3333333333333335</v>
      </c>
      <c r="P70" s="1">
        <f t="shared" si="135"/>
        <v>3.5087719298245612</v>
      </c>
      <c r="Q70" s="1">
        <f t="shared" si="135"/>
        <v>3.6842105263157894</v>
      </c>
      <c r="R70" s="1">
        <f t="shared" si="135"/>
        <v>3.8596491228070176</v>
      </c>
      <c r="S70" s="1">
        <f t="shared" si="135"/>
        <v>4.0350877192982457</v>
      </c>
      <c r="T70" s="1">
        <f t="shared" si="134"/>
        <v>4.2105263157894735</v>
      </c>
      <c r="U70" s="1">
        <f t="shared" si="134"/>
        <v>4.3859649122807021</v>
      </c>
      <c r="V70" s="1">
        <f t="shared" si="134"/>
        <v>4.5614035087719298</v>
      </c>
      <c r="W70" s="1">
        <f t="shared" si="134"/>
        <v>4.7368421052631575</v>
      </c>
      <c r="X70" s="1">
        <f t="shared" si="134"/>
        <v>4.9122807017543861</v>
      </c>
      <c r="Y70" s="1">
        <f t="shared" si="134"/>
        <v>5.0877192982456139</v>
      </c>
      <c r="Z70" s="1">
        <f t="shared" si="134"/>
        <v>5.2631578947368425</v>
      </c>
      <c r="AA70" s="1">
        <f t="shared" si="134"/>
        <v>5.4385964912280702</v>
      </c>
      <c r="AB70" s="1">
        <f t="shared" si="134"/>
        <v>5.6140350877192979</v>
      </c>
      <c r="AC70" s="1">
        <f t="shared" si="134"/>
        <v>5.7894736842105265</v>
      </c>
      <c r="AD70" s="1">
        <f t="shared" si="134"/>
        <v>5.9649122807017543</v>
      </c>
      <c r="AE70" s="1">
        <f t="shared" si="134"/>
        <v>6.1403508771929829</v>
      </c>
      <c r="AF70" s="1">
        <f t="shared" si="134"/>
        <v>6.3157894736842106</v>
      </c>
      <c r="AG70" s="1">
        <f t="shared" si="134"/>
        <v>6.4912280701754383</v>
      </c>
      <c r="AH70" s="1">
        <f t="shared" si="134"/>
        <v>6.666666666666667</v>
      </c>
      <c r="AI70" s="1">
        <f t="shared" si="130"/>
        <v>6.8421052631578947</v>
      </c>
      <c r="AJ70" s="1">
        <f t="shared" si="130"/>
        <v>7.0175438596491224</v>
      </c>
      <c r="AK70" s="1">
        <f t="shared" si="130"/>
        <v>7.192982456140351</v>
      </c>
      <c r="AL70" s="1">
        <f t="shared" si="130"/>
        <v>7.3684210526315788</v>
      </c>
      <c r="AM70" s="1">
        <f t="shared" si="130"/>
        <v>7.5438596491228074</v>
      </c>
      <c r="AN70" s="1">
        <f t="shared" si="130"/>
        <v>7.7192982456140351</v>
      </c>
      <c r="AO70" s="1">
        <f t="shared" si="130"/>
        <v>7.8947368421052628</v>
      </c>
      <c r="AP70" s="1">
        <f t="shared" si="130"/>
        <v>8.0701754385964914</v>
      </c>
      <c r="AQ70" s="1">
        <f t="shared" si="130"/>
        <v>8.2456140350877192</v>
      </c>
      <c r="AR70" s="1">
        <f t="shared" si="130"/>
        <v>8.4210526315789469</v>
      </c>
      <c r="AS70" s="1">
        <f t="shared" si="130"/>
        <v>8.5964912280701746</v>
      </c>
      <c r="AT70" s="1">
        <f t="shared" si="130"/>
        <v>8.7719298245614041</v>
      </c>
      <c r="AU70" s="1">
        <f t="shared" si="130"/>
        <v>8.9473684210526319</v>
      </c>
      <c r="AV70" s="1">
        <f t="shared" si="130"/>
        <v>9.1228070175438596</v>
      </c>
      <c r="AW70" s="1">
        <f t="shared" si="130"/>
        <v>9.2982456140350873</v>
      </c>
      <c r="AX70" s="1">
        <f t="shared" si="130"/>
        <v>9.473684210526315</v>
      </c>
      <c r="AY70" s="1">
        <f t="shared" si="129"/>
        <v>9.6491228070175445</v>
      </c>
      <c r="AZ70" s="1">
        <f t="shared" si="129"/>
        <v>9.8245614035087723</v>
      </c>
      <c r="BA70" s="1">
        <f t="shared" si="129"/>
        <v>10</v>
      </c>
      <c r="BB70" s="1">
        <f t="shared" si="129"/>
        <v>10.175438596491228</v>
      </c>
      <c r="BC70" s="1">
        <f t="shared" si="127"/>
        <v>10.350877192982455</v>
      </c>
      <c r="BD70" s="1">
        <f t="shared" si="127"/>
        <v>10.526315789473685</v>
      </c>
      <c r="BE70" s="1">
        <f t="shared" si="127"/>
        <v>10.701754385964913</v>
      </c>
      <c r="BF70" s="1">
        <f t="shared" si="127"/>
        <v>10.87719298245614</v>
      </c>
      <c r="BG70" s="1">
        <f t="shared" si="127"/>
        <v>11.052631578947368</v>
      </c>
      <c r="BH70" s="1">
        <f t="shared" si="127"/>
        <v>11.228070175438596</v>
      </c>
      <c r="BI70" s="1">
        <f t="shared" si="127"/>
        <v>11.403508771929825</v>
      </c>
      <c r="BJ70" s="1">
        <f t="shared" si="127"/>
        <v>11.578947368421053</v>
      </c>
      <c r="BK70" s="1">
        <f t="shared" si="127"/>
        <v>11.754385964912281</v>
      </c>
      <c r="BL70" s="1">
        <f t="shared" si="127"/>
        <v>11.929824561403509</v>
      </c>
      <c r="BM70" s="1">
        <f t="shared" si="127"/>
        <v>12.105263157894736</v>
      </c>
      <c r="BN70" s="1">
        <f t="shared" si="127"/>
        <v>12.280701754385966</v>
      </c>
      <c r="BO70" s="1">
        <f t="shared" si="125"/>
        <v>12.456140350877194</v>
      </c>
      <c r="BP70" s="1">
        <f t="shared" si="125"/>
        <v>12.631578947368421</v>
      </c>
      <c r="BQ70" s="1">
        <f t="shared" si="125"/>
        <v>12.807017543859649</v>
      </c>
      <c r="BR70" s="1">
        <f t="shared" si="125"/>
        <v>12.982456140350877</v>
      </c>
      <c r="BS70" s="1">
        <f t="shared" si="125"/>
        <v>13.157894736842104</v>
      </c>
      <c r="BT70" s="1">
        <f t="shared" si="125"/>
        <v>13.333333333333334</v>
      </c>
      <c r="BU70" s="1">
        <f t="shared" si="125"/>
        <v>13.508771929824562</v>
      </c>
      <c r="BV70" s="1">
        <f t="shared" si="125"/>
        <v>13.684210526315789</v>
      </c>
      <c r="BW70" s="1">
        <f t="shared" si="125"/>
        <v>13.859649122807017</v>
      </c>
      <c r="BX70" s="1">
        <f t="shared" si="125"/>
        <v>14.035087719298245</v>
      </c>
      <c r="BY70" s="1">
        <f t="shared" si="125"/>
        <v>14.210526315789474</v>
      </c>
      <c r="BZ70" s="1">
        <f t="shared" si="125"/>
        <v>14.385964912280702</v>
      </c>
      <c r="CA70" s="1">
        <f t="shared" si="125"/>
        <v>14.56140350877193</v>
      </c>
      <c r="CB70" s="1">
        <f t="shared" si="125"/>
        <v>14.736842105263158</v>
      </c>
      <c r="CC70" s="1">
        <f t="shared" si="125"/>
        <v>14.912280701754385</v>
      </c>
      <c r="CD70" s="1">
        <f t="shared" si="133"/>
        <v>15.087719298245615</v>
      </c>
      <c r="CE70" s="1">
        <f t="shared" si="133"/>
        <v>15.263157894736842</v>
      </c>
      <c r="CF70" s="1">
        <f t="shared" si="133"/>
        <v>15.43859649122807</v>
      </c>
      <c r="CG70" s="1">
        <f t="shared" si="133"/>
        <v>15.614035087719298</v>
      </c>
      <c r="CH70" s="1">
        <f t="shared" si="133"/>
        <v>15.789473684210526</v>
      </c>
      <c r="CI70" s="1">
        <f t="shared" si="133"/>
        <v>15.964912280701755</v>
      </c>
      <c r="CJ70" s="1">
        <f t="shared" si="133"/>
        <v>16.140350877192983</v>
      </c>
      <c r="CK70" s="1">
        <f t="shared" si="133"/>
        <v>16.315789473684209</v>
      </c>
      <c r="CL70" s="1">
        <f t="shared" si="133"/>
        <v>16.491228070175438</v>
      </c>
      <c r="CM70" s="1">
        <f t="shared" si="133"/>
        <v>16.666666666666668</v>
      </c>
      <c r="CN70" s="1">
        <f t="shared" si="133"/>
        <v>16.842105263157894</v>
      </c>
      <c r="CO70" s="1">
        <f t="shared" si="133"/>
        <v>17.017543859649123</v>
      </c>
      <c r="CP70" s="1">
        <f t="shared" si="133"/>
        <v>17.192982456140349</v>
      </c>
      <c r="CQ70" s="1">
        <f t="shared" si="133"/>
        <v>17.368421052631579</v>
      </c>
      <c r="CR70" s="1">
        <f t="shared" si="133"/>
        <v>17.543859649122808</v>
      </c>
      <c r="CS70" s="1">
        <f t="shared" si="133"/>
        <v>17.719298245614034</v>
      </c>
      <c r="CT70" s="1">
        <f t="shared" si="132"/>
        <v>17.894736842105264</v>
      </c>
      <c r="CU70" s="1">
        <f t="shared" si="131"/>
        <v>18.07017543859649</v>
      </c>
      <c r="CV70" s="1">
        <f t="shared" si="131"/>
        <v>18.245614035087719</v>
      </c>
      <c r="CW70" s="1">
        <f t="shared" si="131"/>
        <v>18.421052631578949</v>
      </c>
      <c r="CX70" s="1">
        <f t="shared" si="131"/>
        <v>18.596491228070175</v>
      </c>
      <c r="CY70" s="1">
        <f t="shared" si="131"/>
        <v>18.771929824561404</v>
      </c>
      <c r="CZ70" s="1">
        <f t="shared" si="131"/>
        <v>18.94736842105263</v>
      </c>
      <c r="DA70" s="1">
        <f t="shared" si="131"/>
        <v>19.12280701754386</v>
      </c>
      <c r="DB70" s="1">
        <f t="shared" si="131"/>
        <v>19.298245614035089</v>
      </c>
      <c r="DC70" s="1">
        <f t="shared" si="131"/>
        <v>19.473684210526315</v>
      </c>
      <c r="DD70" s="1">
        <f t="shared" si="131"/>
        <v>19.649122807017545</v>
      </c>
      <c r="DE70" s="1">
        <f t="shared" si="131"/>
        <v>19.82456140350877</v>
      </c>
      <c r="DF70" s="1">
        <f t="shared" si="131"/>
        <v>20</v>
      </c>
      <c r="DG70" s="1">
        <f t="shared" si="131"/>
        <v>20.17543859649123</v>
      </c>
      <c r="DH70" s="1">
        <f t="shared" si="131"/>
        <v>20.350877192982455</v>
      </c>
      <c r="DI70" s="1">
        <f t="shared" si="131"/>
        <v>20.526315789473685</v>
      </c>
      <c r="DJ70" s="1">
        <f t="shared" si="131"/>
        <v>20.701754385964911</v>
      </c>
      <c r="DK70" s="1">
        <f t="shared" si="121"/>
        <v>20.87719298245614</v>
      </c>
      <c r="DL70" s="1">
        <f t="shared" si="115"/>
        <v>21.05263157894737</v>
      </c>
      <c r="DM70" s="1">
        <f t="shared" si="113"/>
        <v>21.228070175438596</v>
      </c>
      <c r="DN70" s="1">
        <f t="shared" si="113"/>
        <v>21.403508771929825</v>
      </c>
      <c r="DO70" s="1">
        <f t="shared" ref="DO70:DS70" si="136">IF($U$3=0,0,($U$2*DO$13)/($C70*$U$3))</f>
        <v>21.578947368421051</v>
      </c>
      <c r="DP70" s="1">
        <f t="shared" si="136"/>
        <v>21.754385964912281</v>
      </c>
      <c r="DQ70" s="1">
        <f t="shared" si="136"/>
        <v>21.92982456140351</v>
      </c>
      <c r="DR70" s="1">
        <f t="shared" si="136"/>
        <v>22.105263157894736</v>
      </c>
      <c r="DS70" s="1">
        <f t="shared" si="136"/>
        <v>22.280701754385966</v>
      </c>
    </row>
    <row r="71" spans="1:123" x14ac:dyDescent="0.3">
      <c r="A71" s="81"/>
      <c r="B71" s="13" t="str">
        <f t="shared" si="99"/>
        <v>0x3A</v>
      </c>
      <c r="C71" s="12">
        <f t="shared" si="101"/>
        <v>58</v>
      </c>
      <c r="D71" s="1">
        <f t="shared" si="135"/>
        <v>1.3793103448275863</v>
      </c>
      <c r="E71" s="1">
        <f t="shared" si="135"/>
        <v>1.5517241379310345</v>
      </c>
      <c r="F71" s="1">
        <f t="shared" si="135"/>
        <v>1.7241379310344827</v>
      </c>
      <c r="G71" s="1">
        <f t="shared" si="135"/>
        <v>1.896551724137931</v>
      </c>
      <c r="H71" s="1">
        <f t="shared" si="135"/>
        <v>2.0689655172413794</v>
      </c>
      <c r="I71" s="1">
        <f t="shared" si="135"/>
        <v>2.2413793103448274</v>
      </c>
      <c r="J71" s="1">
        <f t="shared" si="135"/>
        <v>2.4137931034482758</v>
      </c>
      <c r="K71" s="1">
        <f t="shared" si="135"/>
        <v>2.5862068965517242</v>
      </c>
      <c r="L71" s="1">
        <f t="shared" si="135"/>
        <v>2.7586206896551726</v>
      </c>
      <c r="M71" s="1">
        <f t="shared" si="135"/>
        <v>2.9310344827586206</v>
      </c>
      <c r="N71" s="1">
        <f t="shared" si="135"/>
        <v>3.103448275862069</v>
      </c>
      <c r="O71" s="1">
        <f t="shared" si="135"/>
        <v>3.2758620689655173</v>
      </c>
      <c r="P71" s="1">
        <f t="shared" si="135"/>
        <v>3.4482758620689653</v>
      </c>
      <c r="Q71" s="1">
        <f t="shared" si="135"/>
        <v>3.6206896551724137</v>
      </c>
      <c r="R71" s="1">
        <f t="shared" si="135"/>
        <v>3.7931034482758621</v>
      </c>
      <c r="S71" s="1">
        <f t="shared" si="135"/>
        <v>3.9655172413793105</v>
      </c>
      <c r="T71" s="1">
        <f t="shared" si="134"/>
        <v>4.1379310344827589</v>
      </c>
      <c r="U71" s="1">
        <f t="shared" si="134"/>
        <v>4.3103448275862073</v>
      </c>
      <c r="V71" s="1">
        <f t="shared" si="134"/>
        <v>4.4827586206896548</v>
      </c>
      <c r="W71" s="1">
        <f t="shared" si="134"/>
        <v>4.6551724137931032</v>
      </c>
      <c r="X71" s="1">
        <f t="shared" si="134"/>
        <v>4.8275862068965516</v>
      </c>
      <c r="Y71" s="1">
        <f t="shared" si="134"/>
        <v>5</v>
      </c>
      <c r="Z71" s="1">
        <f t="shared" si="134"/>
        <v>5.1724137931034484</v>
      </c>
      <c r="AA71" s="1">
        <f t="shared" si="134"/>
        <v>5.3448275862068968</v>
      </c>
      <c r="AB71" s="1">
        <f t="shared" si="134"/>
        <v>5.5172413793103452</v>
      </c>
      <c r="AC71" s="1">
        <f t="shared" si="134"/>
        <v>5.6896551724137927</v>
      </c>
      <c r="AD71" s="1">
        <f t="shared" si="134"/>
        <v>5.8620689655172411</v>
      </c>
      <c r="AE71" s="1">
        <f t="shared" si="134"/>
        <v>6.0344827586206895</v>
      </c>
      <c r="AF71" s="1">
        <f t="shared" si="134"/>
        <v>6.2068965517241379</v>
      </c>
      <c r="AG71" s="1">
        <f t="shared" si="134"/>
        <v>6.3793103448275863</v>
      </c>
      <c r="AH71" s="1">
        <f t="shared" si="134"/>
        <v>6.5517241379310347</v>
      </c>
      <c r="AI71" s="1">
        <f t="shared" si="130"/>
        <v>6.7241379310344831</v>
      </c>
      <c r="AJ71" s="1">
        <f t="shared" si="130"/>
        <v>6.8965517241379306</v>
      </c>
      <c r="AK71" s="1">
        <f t="shared" si="130"/>
        <v>7.068965517241379</v>
      </c>
      <c r="AL71" s="1">
        <f t="shared" si="130"/>
        <v>7.2413793103448274</v>
      </c>
      <c r="AM71" s="1">
        <f t="shared" si="130"/>
        <v>7.4137931034482758</v>
      </c>
      <c r="AN71" s="1">
        <f t="shared" si="130"/>
        <v>7.5862068965517242</v>
      </c>
      <c r="AO71" s="1">
        <f t="shared" si="130"/>
        <v>7.7586206896551726</v>
      </c>
      <c r="AP71" s="1">
        <f t="shared" si="130"/>
        <v>7.931034482758621</v>
      </c>
      <c r="AQ71" s="1">
        <f t="shared" si="130"/>
        <v>8.1034482758620694</v>
      </c>
      <c r="AR71" s="1">
        <f t="shared" si="130"/>
        <v>8.2758620689655178</v>
      </c>
      <c r="AS71" s="1">
        <f t="shared" si="130"/>
        <v>8.4482758620689662</v>
      </c>
      <c r="AT71" s="1">
        <f t="shared" si="130"/>
        <v>8.6206896551724146</v>
      </c>
      <c r="AU71" s="1">
        <f t="shared" si="130"/>
        <v>8.7931034482758612</v>
      </c>
      <c r="AV71" s="1">
        <f t="shared" si="130"/>
        <v>8.9655172413793096</v>
      </c>
      <c r="AW71" s="1">
        <f t="shared" si="130"/>
        <v>9.137931034482758</v>
      </c>
      <c r="AX71" s="1">
        <f t="shared" si="130"/>
        <v>9.3103448275862064</v>
      </c>
      <c r="AY71" s="1">
        <f t="shared" si="129"/>
        <v>9.4827586206896548</v>
      </c>
      <c r="AZ71" s="1">
        <f t="shared" si="129"/>
        <v>9.6551724137931032</v>
      </c>
      <c r="BA71" s="1">
        <f t="shared" si="129"/>
        <v>9.8275862068965516</v>
      </c>
      <c r="BB71" s="1">
        <f t="shared" si="129"/>
        <v>10</v>
      </c>
      <c r="BC71" s="1">
        <f t="shared" si="127"/>
        <v>10.172413793103448</v>
      </c>
      <c r="BD71" s="1">
        <f t="shared" si="127"/>
        <v>10.344827586206897</v>
      </c>
      <c r="BE71" s="1">
        <f t="shared" si="127"/>
        <v>10.517241379310345</v>
      </c>
      <c r="BF71" s="1">
        <f t="shared" si="127"/>
        <v>10.689655172413794</v>
      </c>
      <c r="BG71" s="1">
        <f t="shared" si="127"/>
        <v>10.862068965517242</v>
      </c>
      <c r="BH71" s="1">
        <f t="shared" si="127"/>
        <v>11.03448275862069</v>
      </c>
      <c r="BI71" s="1">
        <f t="shared" si="127"/>
        <v>11.206896551724139</v>
      </c>
      <c r="BJ71" s="1">
        <f t="shared" si="127"/>
        <v>11.379310344827585</v>
      </c>
      <c r="BK71" s="1">
        <f t="shared" si="127"/>
        <v>11.551724137931034</v>
      </c>
      <c r="BL71" s="1">
        <f t="shared" si="127"/>
        <v>11.724137931034482</v>
      </c>
      <c r="BM71" s="1">
        <f t="shared" si="127"/>
        <v>11.896551724137931</v>
      </c>
      <c r="BN71" s="1">
        <f t="shared" si="127"/>
        <v>12.068965517241379</v>
      </c>
      <c r="BO71" s="1">
        <f t="shared" si="125"/>
        <v>12.241379310344827</v>
      </c>
      <c r="BP71" s="1">
        <f t="shared" si="125"/>
        <v>12.413793103448276</v>
      </c>
      <c r="BQ71" s="1">
        <f t="shared" si="125"/>
        <v>12.586206896551724</v>
      </c>
      <c r="BR71" s="1">
        <f t="shared" si="125"/>
        <v>12.758620689655173</v>
      </c>
      <c r="BS71" s="1">
        <f t="shared" si="125"/>
        <v>12.931034482758621</v>
      </c>
      <c r="BT71" s="1">
        <f t="shared" si="125"/>
        <v>13.103448275862069</v>
      </c>
      <c r="BU71" s="1">
        <f t="shared" si="125"/>
        <v>13.275862068965518</v>
      </c>
      <c r="BV71" s="1">
        <f t="shared" si="125"/>
        <v>13.448275862068966</v>
      </c>
      <c r="BW71" s="1">
        <f t="shared" si="125"/>
        <v>13.620689655172415</v>
      </c>
      <c r="BX71" s="1">
        <f t="shared" si="125"/>
        <v>13.793103448275861</v>
      </c>
      <c r="BY71" s="1">
        <f t="shared" si="125"/>
        <v>13.96551724137931</v>
      </c>
      <c r="BZ71" s="1">
        <f t="shared" si="125"/>
        <v>14.137931034482758</v>
      </c>
      <c r="CA71" s="1">
        <f t="shared" si="125"/>
        <v>14.310344827586206</v>
      </c>
      <c r="CB71" s="1">
        <f t="shared" si="125"/>
        <v>14.482758620689655</v>
      </c>
      <c r="CC71" s="1">
        <f t="shared" si="125"/>
        <v>14.655172413793103</v>
      </c>
      <c r="CD71" s="1">
        <f t="shared" si="133"/>
        <v>14.827586206896552</v>
      </c>
      <c r="CE71" s="1">
        <f t="shared" si="133"/>
        <v>15</v>
      </c>
      <c r="CF71" s="1">
        <f t="shared" si="133"/>
        <v>15.172413793103448</v>
      </c>
      <c r="CG71" s="1">
        <f t="shared" si="133"/>
        <v>15.344827586206897</v>
      </c>
      <c r="CH71" s="1">
        <f t="shared" si="133"/>
        <v>15.517241379310345</v>
      </c>
      <c r="CI71" s="1">
        <f t="shared" si="133"/>
        <v>15.689655172413794</v>
      </c>
      <c r="CJ71" s="1">
        <f t="shared" si="133"/>
        <v>15.862068965517242</v>
      </c>
      <c r="CK71" s="1">
        <f t="shared" si="133"/>
        <v>16.03448275862069</v>
      </c>
      <c r="CL71" s="1">
        <f t="shared" si="133"/>
        <v>16.206896551724139</v>
      </c>
      <c r="CM71" s="1">
        <f t="shared" si="133"/>
        <v>16.379310344827587</v>
      </c>
      <c r="CN71" s="1">
        <f t="shared" si="133"/>
        <v>16.551724137931036</v>
      </c>
      <c r="CO71" s="1">
        <f t="shared" si="133"/>
        <v>16.724137931034484</v>
      </c>
      <c r="CP71" s="1">
        <f t="shared" si="133"/>
        <v>16.896551724137932</v>
      </c>
      <c r="CQ71" s="1">
        <f t="shared" si="133"/>
        <v>17.068965517241381</v>
      </c>
      <c r="CR71" s="1">
        <f t="shared" si="133"/>
        <v>17.241379310344829</v>
      </c>
      <c r="CS71" s="1">
        <f t="shared" si="133"/>
        <v>17.413793103448278</v>
      </c>
      <c r="CT71" s="1">
        <f t="shared" si="132"/>
        <v>17.586206896551722</v>
      </c>
      <c r="CU71" s="1">
        <f t="shared" si="131"/>
        <v>17.758620689655171</v>
      </c>
      <c r="CV71" s="1">
        <f t="shared" si="131"/>
        <v>17.931034482758619</v>
      </c>
      <c r="CW71" s="1">
        <f t="shared" si="131"/>
        <v>18.103448275862068</v>
      </c>
      <c r="CX71" s="1">
        <f t="shared" si="131"/>
        <v>18.275862068965516</v>
      </c>
      <c r="CY71" s="1">
        <f t="shared" si="131"/>
        <v>18.448275862068964</v>
      </c>
      <c r="CZ71" s="1">
        <f t="shared" si="131"/>
        <v>18.620689655172413</v>
      </c>
      <c r="DA71" s="1">
        <f t="shared" si="131"/>
        <v>18.793103448275861</v>
      </c>
      <c r="DB71" s="1">
        <f t="shared" si="131"/>
        <v>18.96551724137931</v>
      </c>
      <c r="DC71" s="1">
        <f t="shared" si="131"/>
        <v>19.137931034482758</v>
      </c>
      <c r="DD71" s="1">
        <f t="shared" si="131"/>
        <v>19.310344827586206</v>
      </c>
      <c r="DE71" s="1">
        <f t="shared" si="131"/>
        <v>19.482758620689655</v>
      </c>
      <c r="DF71" s="1">
        <f t="shared" si="131"/>
        <v>19.655172413793103</v>
      </c>
      <c r="DG71" s="1">
        <f t="shared" si="131"/>
        <v>19.827586206896552</v>
      </c>
      <c r="DH71" s="1">
        <f t="shared" si="131"/>
        <v>20</v>
      </c>
      <c r="DI71" s="1">
        <f t="shared" si="131"/>
        <v>20.172413793103448</v>
      </c>
      <c r="DJ71" s="1">
        <f t="shared" si="131"/>
        <v>20.344827586206897</v>
      </c>
      <c r="DK71" s="1">
        <f t="shared" si="121"/>
        <v>20.517241379310345</v>
      </c>
      <c r="DL71" s="1">
        <f t="shared" si="115"/>
        <v>20.689655172413794</v>
      </c>
      <c r="DM71" s="1">
        <f t="shared" ref="DM71:DS76" si="137">IF($U$3=0,0,($U$2*DM$13)/($C71*$U$3))</f>
        <v>20.862068965517242</v>
      </c>
      <c r="DN71" s="1">
        <f t="shared" si="137"/>
        <v>21.03448275862069</v>
      </c>
      <c r="DO71" s="1">
        <f t="shared" si="137"/>
        <v>21.206896551724139</v>
      </c>
      <c r="DP71" s="1">
        <f t="shared" si="137"/>
        <v>21.379310344827587</v>
      </c>
      <c r="DQ71" s="1">
        <f t="shared" si="137"/>
        <v>21.551724137931036</v>
      </c>
      <c r="DR71" s="1">
        <f t="shared" si="137"/>
        <v>21.724137931034484</v>
      </c>
      <c r="DS71" s="1">
        <f t="shared" si="137"/>
        <v>21.896551724137932</v>
      </c>
    </row>
    <row r="72" spans="1:123" x14ac:dyDescent="0.3">
      <c r="A72" s="81"/>
      <c r="B72" s="13" t="str">
        <f t="shared" si="99"/>
        <v>0x3B</v>
      </c>
      <c r="C72" s="12">
        <f t="shared" si="101"/>
        <v>59</v>
      </c>
      <c r="D72" s="1">
        <f t="shared" si="135"/>
        <v>1.3559322033898304</v>
      </c>
      <c r="E72" s="1">
        <f t="shared" si="135"/>
        <v>1.5254237288135593</v>
      </c>
      <c r="F72" s="1">
        <f t="shared" si="135"/>
        <v>1.6949152542372881</v>
      </c>
      <c r="G72" s="1">
        <f t="shared" si="135"/>
        <v>1.8644067796610169</v>
      </c>
      <c r="H72" s="1">
        <f t="shared" si="135"/>
        <v>2.0338983050847457</v>
      </c>
      <c r="I72" s="1">
        <f t="shared" si="135"/>
        <v>2.2033898305084745</v>
      </c>
      <c r="J72" s="1">
        <f t="shared" si="135"/>
        <v>2.3728813559322033</v>
      </c>
      <c r="K72" s="1">
        <f t="shared" si="135"/>
        <v>2.5423728813559321</v>
      </c>
      <c r="L72" s="1">
        <f t="shared" si="135"/>
        <v>2.7118644067796609</v>
      </c>
      <c r="M72" s="1">
        <f t="shared" si="135"/>
        <v>2.8813559322033897</v>
      </c>
      <c r="N72" s="1">
        <f t="shared" si="135"/>
        <v>3.0508474576271185</v>
      </c>
      <c r="O72" s="1">
        <f t="shared" si="135"/>
        <v>3.2203389830508473</v>
      </c>
      <c r="P72" s="1">
        <f t="shared" si="135"/>
        <v>3.3898305084745761</v>
      </c>
      <c r="Q72" s="1">
        <f t="shared" si="135"/>
        <v>3.5593220338983049</v>
      </c>
      <c r="R72" s="1">
        <f t="shared" si="135"/>
        <v>3.7288135593220337</v>
      </c>
      <c r="S72" s="1">
        <f t="shared" si="135"/>
        <v>3.8983050847457625</v>
      </c>
      <c r="T72" s="1">
        <f t="shared" si="134"/>
        <v>4.0677966101694913</v>
      </c>
      <c r="U72" s="1">
        <f t="shared" si="134"/>
        <v>4.2372881355932206</v>
      </c>
      <c r="V72" s="1">
        <f t="shared" si="134"/>
        <v>4.406779661016949</v>
      </c>
      <c r="W72" s="1">
        <f t="shared" si="134"/>
        <v>4.5762711864406782</v>
      </c>
      <c r="X72" s="1">
        <f t="shared" si="134"/>
        <v>4.7457627118644066</v>
      </c>
      <c r="Y72" s="1">
        <f t="shared" si="134"/>
        <v>4.9152542372881358</v>
      </c>
      <c r="Z72" s="1">
        <f t="shared" si="134"/>
        <v>5.0847457627118642</v>
      </c>
      <c r="AA72" s="1">
        <f t="shared" si="134"/>
        <v>5.2542372881355934</v>
      </c>
      <c r="AB72" s="1">
        <f t="shared" si="134"/>
        <v>5.4237288135593218</v>
      </c>
      <c r="AC72" s="1">
        <f t="shared" si="134"/>
        <v>5.593220338983051</v>
      </c>
      <c r="AD72" s="1">
        <f t="shared" si="134"/>
        <v>5.7627118644067794</v>
      </c>
      <c r="AE72" s="1">
        <f t="shared" si="134"/>
        <v>5.9322033898305087</v>
      </c>
      <c r="AF72" s="1">
        <f t="shared" si="134"/>
        <v>6.101694915254237</v>
      </c>
      <c r="AG72" s="1">
        <f t="shared" si="134"/>
        <v>6.2711864406779663</v>
      </c>
      <c r="AH72" s="1">
        <f t="shared" si="134"/>
        <v>6.4406779661016946</v>
      </c>
      <c r="AI72" s="1">
        <f t="shared" si="130"/>
        <v>6.6101694915254239</v>
      </c>
      <c r="AJ72" s="1">
        <f t="shared" si="130"/>
        <v>6.7796610169491522</v>
      </c>
      <c r="AK72" s="1">
        <f t="shared" si="130"/>
        <v>6.9491525423728815</v>
      </c>
      <c r="AL72" s="1">
        <f t="shared" si="130"/>
        <v>7.1186440677966099</v>
      </c>
      <c r="AM72" s="1">
        <f t="shared" si="130"/>
        <v>7.2881355932203391</v>
      </c>
      <c r="AN72" s="1">
        <f t="shared" si="130"/>
        <v>7.4576271186440675</v>
      </c>
      <c r="AO72" s="1">
        <f t="shared" si="130"/>
        <v>7.6271186440677967</v>
      </c>
      <c r="AP72" s="1">
        <f t="shared" si="130"/>
        <v>7.7966101694915251</v>
      </c>
      <c r="AQ72" s="1">
        <f t="shared" si="130"/>
        <v>7.9661016949152543</v>
      </c>
      <c r="AR72" s="1">
        <f t="shared" si="130"/>
        <v>8.1355932203389827</v>
      </c>
      <c r="AS72" s="1">
        <f t="shared" si="130"/>
        <v>8.3050847457627111</v>
      </c>
      <c r="AT72" s="1">
        <f t="shared" si="130"/>
        <v>8.4745762711864412</v>
      </c>
      <c r="AU72" s="1">
        <f t="shared" si="130"/>
        <v>8.6440677966101696</v>
      </c>
      <c r="AV72" s="1">
        <f t="shared" si="130"/>
        <v>8.8135593220338979</v>
      </c>
      <c r="AW72" s="1">
        <f t="shared" si="130"/>
        <v>8.9830508474576263</v>
      </c>
      <c r="AX72" s="1">
        <f t="shared" ref="AX72:BM76" si="138">IF($U$3=0,0,($U$2*AX$13)/($C72*$U$3))</f>
        <v>9.1525423728813564</v>
      </c>
      <c r="AY72" s="1">
        <f t="shared" si="138"/>
        <v>9.3220338983050848</v>
      </c>
      <c r="AZ72" s="1">
        <f t="shared" si="138"/>
        <v>9.4915254237288131</v>
      </c>
      <c r="BA72" s="1">
        <f t="shared" si="138"/>
        <v>9.6610169491525415</v>
      </c>
      <c r="BB72" s="1">
        <f t="shared" si="138"/>
        <v>9.8305084745762716</v>
      </c>
      <c r="BC72" s="1">
        <f t="shared" si="138"/>
        <v>10</v>
      </c>
      <c r="BD72" s="1">
        <f t="shared" si="138"/>
        <v>10.169491525423728</v>
      </c>
      <c r="BE72" s="1">
        <f t="shared" si="138"/>
        <v>10.338983050847459</v>
      </c>
      <c r="BF72" s="1">
        <f t="shared" si="138"/>
        <v>10.508474576271187</v>
      </c>
      <c r="BG72" s="1">
        <f t="shared" si="138"/>
        <v>10.677966101694915</v>
      </c>
      <c r="BH72" s="1">
        <f t="shared" si="138"/>
        <v>10.847457627118644</v>
      </c>
      <c r="BI72" s="1">
        <f t="shared" si="138"/>
        <v>11.016949152542374</v>
      </c>
      <c r="BJ72" s="1">
        <f t="shared" si="138"/>
        <v>11.186440677966102</v>
      </c>
      <c r="BK72" s="1">
        <f t="shared" si="138"/>
        <v>11.35593220338983</v>
      </c>
      <c r="BL72" s="1">
        <f t="shared" si="138"/>
        <v>11.525423728813559</v>
      </c>
      <c r="BM72" s="1">
        <f t="shared" si="138"/>
        <v>11.694915254237289</v>
      </c>
      <c r="BN72" s="1">
        <f t="shared" si="127"/>
        <v>11.864406779661017</v>
      </c>
      <c r="BO72" s="1">
        <f t="shared" si="125"/>
        <v>12.033898305084746</v>
      </c>
      <c r="BP72" s="1">
        <f t="shared" si="125"/>
        <v>12.203389830508474</v>
      </c>
      <c r="BQ72" s="1">
        <f t="shared" si="125"/>
        <v>12.372881355932204</v>
      </c>
      <c r="BR72" s="1">
        <f t="shared" si="125"/>
        <v>12.542372881355933</v>
      </c>
      <c r="BS72" s="1">
        <f t="shared" si="125"/>
        <v>12.711864406779661</v>
      </c>
      <c r="BT72" s="1">
        <f t="shared" si="125"/>
        <v>12.881355932203389</v>
      </c>
      <c r="BU72" s="1">
        <f t="shared" si="125"/>
        <v>13.050847457627119</v>
      </c>
      <c r="BV72" s="1">
        <f t="shared" si="125"/>
        <v>13.220338983050848</v>
      </c>
      <c r="BW72" s="1">
        <f t="shared" si="125"/>
        <v>13.389830508474576</v>
      </c>
      <c r="BX72" s="1">
        <f t="shared" si="125"/>
        <v>13.559322033898304</v>
      </c>
      <c r="BY72" s="1">
        <f t="shared" si="125"/>
        <v>13.728813559322035</v>
      </c>
      <c r="BZ72" s="1">
        <f t="shared" si="125"/>
        <v>13.898305084745763</v>
      </c>
      <c r="CA72" s="1">
        <f t="shared" si="125"/>
        <v>14.067796610169491</v>
      </c>
      <c r="CB72" s="1">
        <f t="shared" si="125"/>
        <v>14.23728813559322</v>
      </c>
      <c r="CC72" s="1">
        <f t="shared" si="125"/>
        <v>14.40677966101695</v>
      </c>
      <c r="CD72" s="1">
        <f t="shared" si="133"/>
        <v>14.576271186440678</v>
      </c>
      <c r="CE72" s="1">
        <f t="shared" si="133"/>
        <v>14.745762711864407</v>
      </c>
      <c r="CF72" s="1">
        <f t="shared" si="133"/>
        <v>14.915254237288135</v>
      </c>
      <c r="CG72" s="1">
        <f t="shared" si="133"/>
        <v>15.084745762711865</v>
      </c>
      <c r="CH72" s="1">
        <f t="shared" si="133"/>
        <v>15.254237288135593</v>
      </c>
      <c r="CI72" s="1">
        <f t="shared" si="133"/>
        <v>15.423728813559322</v>
      </c>
      <c r="CJ72" s="1">
        <f t="shared" si="133"/>
        <v>15.59322033898305</v>
      </c>
      <c r="CK72" s="1">
        <f t="shared" si="133"/>
        <v>15.76271186440678</v>
      </c>
      <c r="CL72" s="1">
        <f t="shared" si="133"/>
        <v>15.932203389830509</v>
      </c>
      <c r="CM72" s="1">
        <f t="shared" si="133"/>
        <v>16.101694915254239</v>
      </c>
      <c r="CN72" s="1">
        <f t="shared" si="133"/>
        <v>16.271186440677965</v>
      </c>
      <c r="CO72" s="1">
        <f t="shared" si="133"/>
        <v>16.440677966101696</v>
      </c>
      <c r="CP72" s="1">
        <f t="shared" si="133"/>
        <v>16.610169491525422</v>
      </c>
      <c r="CQ72" s="1">
        <f t="shared" si="133"/>
        <v>16.779661016949152</v>
      </c>
      <c r="CR72" s="1">
        <f t="shared" si="133"/>
        <v>16.949152542372882</v>
      </c>
      <c r="CS72" s="1">
        <f t="shared" si="133"/>
        <v>17.118644067796609</v>
      </c>
      <c r="CT72" s="1">
        <f t="shared" si="132"/>
        <v>17.288135593220339</v>
      </c>
      <c r="CU72" s="1">
        <f t="shared" si="131"/>
        <v>17.457627118644069</v>
      </c>
      <c r="CV72" s="1">
        <f t="shared" si="131"/>
        <v>17.627118644067796</v>
      </c>
      <c r="CW72" s="1">
        <f t="shared" si="131"/>
        <v>17.796610169491526</v>
      </c>
      <c r="CX72" s="1">
        <f t="shared" si="131"/>
        <v>17.966101694915253</v>
      </c>
      <c r="CY72" s="1">
        <f t="shared" si="131"/>
        <v>18.135593220338983</v>
      </c>
      <c r="CZ72" s="1">
        <f t="shared" si="131"/>
        <v>18.305084745762713</v>
      </c>
      <c r="DA72" s="1">
        <f t="shared" si="131"/>
        <v>18.474576271186439</v>
      </c>
      <c r="DB72" s="1">
        <f t="shared" si="131"/>
        <v>18.64406779661017</v>
      </c>
      <c r="DC72" s="1">
        <f t="shared" si="131"/>
        <v>18.8135593220339</v>
      </c>
      <c r="DD72" s="1">
        <f t="shared" si="131"/>
        <v>18.983050847457626</v>
      </c>
      <c r="DE72" s="1">
        <f t="shared" si="131"/>
        <v>19.152542372881356</v>
      </c>
      <c r="DF72" s="1">
        <f t="shared" si="131"/>
        <v>19.322033898305083</v>
      </c>
      <c r="DG72" s="1">
        <f t="shared" si="131"/>
        <v>19.491525423728813</v>
      </c>
      <c r="DH72" s="1">
        <f t="shared" si="131"/>
        <v>19.661016949152543</v>
      </c>
      <c r="DI72" s="1">
        <f t="shared" si="131"/>
        <v>19.83050847457627</v>
      </c>
      <c r="DJ72" s="1">
        <f t="shared" si="131"/>
        <v>20</v>
      </c>
      <c r="DK72" s="1">
        <f t="shared" si="121"/>
        <v>20.16949152542373</v>
      </c>
      <c r="DL72" s="1">
        <f t="shared" si="115"/>
        <v>20.338983050847457</v>
      </c>
      <c r="DM72" s="1">
        <f t="shared" si="137"/>
        <v>20.508474576271187</v>
      </c>
      <c r="DN72" s="1">
        <f t="shared" si="137"/>
        <v>20.677966101694917</v>
      </c>
      <c r="DO72" s="1">
        <f t="shared" si="137"/>
        <v>20.847457627118644</v>
      </c>
      <c r="DP72" s="1">
        <f t="shared" si="137"/>
        <v>21.016949152542374</v>
      </c>
      <c r="DQ72" s="1">
        <f t="shared" si="137"/>
        <v>21.1864406779661</v>
      </c>
      <c r="DR72" s="1">
        <f t="shared" si="137"/>
        <v>21.35593220338983</v>
      </c>
      <c r="DS72" s="1">
        <f t="shared" si="137"/>
        <v>21.525423728813561</v>
      </c>
    </row>
    <row r="73" spans="1:123" x14ac:dyDescent="0.3">
      <c r="A73" s="81"/>
      <c r="B73" s="13" t="str">
        <f t="shared" si="99"/>
        <v>0x3C</v>
      </c>
      <c r="C73" s="12">
        <f t="shared" si="101"/>
        <v>60</v>
      </c>
      <c r="D73" s="1">
        <f t="shared" si="135"/>
        <v>1.3333333333333333</v>
      </c>
      <c r="E73" s="1">
        <f t="shared" si="135"/>
        <v>1.5</v>
      </c>
      <c r="F73" s="1">
        <f t="shared" si="135"/>
        <v>1.6666666666666667</v>
      </c>
      <c r="G73" s="1">
        <f t="shared" si="135"/>
        <v>1.8333333333333333</v>
      </c>
      <c r="H73" s="1">
        <f t="shared" si="135"/>
        <v>2</v>
      </c>
      <c r="I73" s="1">
        <f t="shared" si="135"/>
        <v>2.1666666666666665</v>
      </c>
      <c r="J73" s="1">
        <f t="shared" si="135"/>
        <v>2.3333333333333335</v>
      </c>
      <c r="K73" s="1">
        <f t="shared" si="135"/>
        <v>2.5</v>
      </c>
      <c r="L73" s="1">
        <f t="shared" si="135"/>
        <v>2.6666666666666665</v>
      </c>
      <c r="M73" s="1">
        <f t="shared" si="135"/>
        <v>2.8333333333333335</v>
      </c>
      <c r="N73" s="1">
        <f t="shared" si="135"/>
        <v>3</v>
      </c>
      <c r="O73" s="1">
        <f t="shared" si="135"/>
        <v>3.1666666666666665</v>
      </c>
      <c r="P73" s="1">
        <f t="shared" si="135"/>
        <v>3.3333333333333335</v>
      </c>
      <c r="Q73" s="1">
        <f t="shared" si="135"/>
        <v>3.5</v>
      </c>
      <c r="R73" s="1">
        <f t="shared" si="135"/>
        <v>3.6666666666666665</v>
      </c>
      <c r="S73" s="1">
        <f t="shared" si="135"/>
        <v>3.8333333333333335</v>
      </c>
      <c r="T73" s="1">
        <f t="shared" si="134"/>
        <v>4</v>
      </c>
      <c r="U73" s="1">
        <f t="shared" si="134"/>
        <v>4.166666666666667</v>
      </c>
      <c r="V73" s="1">
        <f t="shared" si="134"/>
        <v>4.333333333333333</v>
      </c>
      <c r="W73" s="1">
        <f t="shared" si="134"/>
        <v>4.5</v>
      </c>
      <c r="X73" s="1">
        <f t="shared" si="134"/>
        <v>4.666666666666667</v>
      </c>
      <c r="Y73" s="1">
        <f t="shared" si="134"/>
        <v>4.833333333333333</v>
      </c>
      <c r="Z73" s="1">
        <f t="shared" si="134"/>
        <v>5</v>
      </c>
      <c r="AA73" s="1">
        <f t="shared" si="134"/>
        <v>5.166666666666667</v>
      </c>
      <c r="AB73" s="1">
        <f t="shared" si="134"/>
        <v>5.333333333333333</v>
      </c>
      <c r="AC73" s="1">
        <f t="shared" si="134"/>
        <v>5.5</v>
      </c>
      <c r="AD73" s="1">
        <f t="shared" si="134"/>
        <v>5.666666666666667</v>
      </c>
      <c r="AE73" s="1">
        <f t="shared" si="134"/>
        <v>5.833333333333333</v>
      </c>
      <c r="AF73" s="1">
        <f t="shared" si="134"/>
        <v>6</v>
      </c>
      <c r="AG73" s="1">
        <f t="shared" si="134"/>
        <v>6.166666666666667</v>
      </c>
      <c r="AH73" s="1">
        <f t="shared" si="134"/>
        <v>6.333333333333333</v>
      </c>
      <c r="AI73" s="1">
        <f t="shared" ref="AI73:AX76" si="139">IF($U$3=0,0,($U$2*AI$13)/($C73*$U$3))</f>
        <v>6.5</v>
      </c>
      <c r="AJ73" s="1">
        <f t="shared" si="139"/>
        <v>6.666666666666667</v>
      </c>
      <c r="AK73" s="1">
        <f t="shared" si="139"/>
        <v>6.833333333333333</v>
      </c>
      <c r="AL73" s="1">
        <f t="shared" si="139"/>
        <v>7</v>
      </c>
      <c r="AM73" s="1">
        <f t="shared" si="139"/>
        <v>7.166666666666667</v>
      </c>
      <c r="AN73" s="1">
        <f t="shared" si="139"/>
        <v>7.333333333333333</v>
      </c>
      <c r="AO73" s="1">
        <f t="shared" si="139"/>
        <v>7.5</v>
      </c>
      <c r="AP73" s="1">
        <f t="shared" si="139"/>
        <v>7.666666666666667</v>
      </c>
      <c r="AQ73" s="1">
        <f t="shared" si="139"/>
        <v>7.833333333333333</v>
      </c>
      <c r="AR73" s="1">
        <f t="shared" si="139"/>
        <v>8</v>
      </c>
      <c r="AS73" s="1">
        <f t="shared" si="139"/>
        <v>8.1666666666666661</v>
      </c>
      <c r="AT73" s="1">
        <f t="shared" si="139"/>
        <v>8.3333333333333339</v>
      </c>
      <c r="AU73" s="1">
        <f t="shared" si="139"/>
        <v>8.5</v>
      </c>
      <c r="AV73" s="1">
        <f t="shared" si="139"/>
        <v>8.6666666666666661</v>
      </c>
      <c r="AW73" s="1">
        <f t="shared" si="139"/>
        <v>8.8333333333333339</v>
      </c>
      <c r="AX73" s="1">
        <f t="shared" si="139"/>
        <v>9</v>
      </c>
      <c r="AY73" s="1">
        <f t="shared" si="138"/>
        <v>9.1666666666666661</v>
      </c>
      <c r="AZ73" s="1">
        <f t="shared" si="138"/>
        <v>9.3333333333333339</v>
      </c>
      <c r="BA73" s="1">
        <f t="shared" si="138"/>
        <v>9.5</v>
      </c>
      <c r="BB73" s="1">
        <f t="shared" si="138"/>
        <v>9.6666666666666661</v>
      </c>
      <c r="BC73" s="1">
        <f t="shared" si="138"/>
        <v>9.8333333333333339</v>
      </c>
      <c r="BD73" s="1">
        <f t="shared" si="138"/>
        <v>10</v>
      </c>
      <c r="BE73" s="1">
        <f t="shared" si="138"/>
        <v>10.166666666666666</v>
      </c>
      <c r="BF73" s="1">
        <f t="shared" si="138"/>
        <v>10.333333333333334</v>
      </c>
      <c r="BG73" s="1">
        <f t="shared" si="138"/>
        <v>10.5</v>
      </c>
      <c r="BH73" s="1">
        <f t="shared" si="138"/>
        <v>10.666666666666666</v>
      </c>
      <c r="BI73" s="1">
        <f t="shared" si="138"/>
        <v>10.833333333333334</v>
      </c>
      <c r="BJ73" s="1">
        <f t="shared" si="138"/>
        <v>11</v>
      </c>
      <c r="BK73" s="1">
        <f t="shared" si="138"/>
        <v>11.166666666666666</v>
      </c>
      <c r="BL73" s="1">
        <f t="shared" si="138"/>
        <v>11.333333333333334</v>
      </c>
      <c r="BM73" s="1">
        <f t="shared" si="138"/>
        <v>11.5</v>
      </c>
      <c r="BN73" s="1">
        <f t="shared" si="127"/>
        <v>11.666666666666666</v>
      </c>
      <c r="BO73" s="1">
        <f t="shared" si="125"/>
        <v>11.833333333333334</v>
      </c>
      <c r="BP73" s="1">
        <f t="shared" si="125"/>
        <v>12</v>
      </c>
      <c r="BQ73" s="1">
        <f t="shared" si="125"/>
        <v>12.166666666666666</v>
      </c>
      <c r="BR73" s="1">
        <f t="shared" si="125"/>
        <v>12.333333333333334</v>
      </c>
      <c r="BS73" s="1">
        <f t="shared" si="125"/>
        <v>12.5</v>
      </c>
      <c r="BT73" s="1">
        <f t="shared" si="125"/>
        <v>12.666666666666666</v>
      </c>
      <c r="BU73" s="1">
        <f t="shared" si="125"/>
        <v>12.833333333333334</v>
      </c>
      <c r="BV73" s="1">
        <f t="shared" si="125"/>
        <v>13</v>
      </c>
      <c r="BW73" s="1">
        <f t="shared" si="125"/>
        <v>13.166666666666666</v>
      </c>
      <c r="BX73" s="1">
        <f t="shared" si="125"/>
        <v>13.333333333333334</v>
      </c>
      <c r="BY73" s="1">
        <f t="shared" si="125"/>
        <v>13.5</v>
      </c>
      <c r="BZ73" s="1">
        <f t="shared" si="125"/>
        <v>13.666666666666666</v>
      </c>
      <c r="CA73" s="1">
        <f t="shared" si="125"/>
        <v>13.833333333333334</v>
      </c>
      <c r="CB73" s="1">
        <f t="shared" si="125"/>
        <v>14</v>
      </c>
      <c r="CC73" s="1">
        <f t="shared" si="125"/>
        <v>14.166666666666666</v>
      </c>
      <c r="CD73" s="1">
        <f t="shared" si="133"/>
        <v>14.333333333333334</v>
      </c>
      <c r="CE73" s="1">
        <f t="shared" si="133"/>
        <v>14.5</v>
      </c>
      <c r="CF73" s="1">
        <f t="shared" si="133"/>
        <v>14.666666666666666</v>
      </c>
      <c r="CG73" s="1">
        <f t="shared" si="133"/>
        <v>14.833333333333334</v>
      </c>
      <c r="CH73" s="1">
        <f t="shared" si="133"/>
        <v>15</v>
      </c>
      <c r="CI73" s="1">
        <f t="shared" si="133"/>
        <v>15.166666666666666</v>
      </c>
      <c r="CJ73" s="1">
        <f t="shared" si="133"/>
        <v>15.333333333333334</v>
      </c>
      <c r="CK73" s="1">
        <f t="shared" si="133"/>
        <v>15.5</v>
      </c>
      <c r="CL73" s="1">
        <f t="shared" si="133"/>
        <v>15.666666666666666</v>
      </c>
      <c r="CM73" s="1">
        <f t="shared" si="133"/>
        <v>15.833333333333334</v>
      </c>
      <c r="CN73" s="1">
        <f t="shared" si="133"/>
        <v>16</v>
      </c>
      <c r="CO73" s="1">
        <f t="shared" si="133"/>
        <v>16.166666666666668</v>
      </c>
      <c r="CP73" s="1">
        <f t="shared" si="133"/>
        <v>16.333333333333332</v>
      </c>
      <c r="CQ73" s="1">
        <f t="shared" si="133"/>
        <v>16.5</v>
      </c>
      <c r="CR73" s="1">
        <f t="shared" si="133"/>
        <v>16.666666666666668</v>
      </c>
      <c r="CS73" s="1">
        <f t="shared" si="133"/>
        <v>16.833333333333332</v>
      </c>
      <c r="CT73" s="1">
        <f t="shared" si="132"/>
        <v>17</v>
      </c>
      <c r="CU73" s="1">
        <f t="shared" si="131"/>
        <v>17.166666666666668</v>
      </c>
      <c r="CV73" s="1">
        <f t="shared" si="131"/>
        <v>17.333333333333332</v>
      </c>
      <c r="CW73" s="1">
        <f t="shared" si="131"/>
        <v>17.5</v>
      </c>
      <c r="CX73" s="1">
        <f t="shared" si="131"/>
        <v>17.666666666666668</v>
      </c>
      <c r="CY73" s="1">
        <f t="shared" si="131"/>
        <v>17.833333333333332</v>
      </c>
      <c r="CZ73" s="1">
        <f t="shared" si="131"/>
        <v>18</v>
      </c>
      <c r="DA73" s="1">
        <f t="shared" si="131"/>
        <v>18.166666666666668</v>
      </c>
      <c r="DB73" s="1">
        <f t="shared" si="131"/>
        <v>18.333333333333332</v>
      </c>
      <c r="DC73" s="1">
        <f t="shared" si="131"/>
        <v>18.5</v>
      </c>
      <c r="DD73" s="1">
        <f t="shared" si="131"/>
        <v>18.666666666666668</v>
      </c>
      <c r="DE73" s="1">
        <f t="shared" si="131"/>
        <v>18.833333333333332</v>
      </c>
      <c r="DF73" s="1">
        <f t="shared" si="131"/>
        <v>19</v>
      </c>
      <c r="DG73" s="1">
        <f t="shared" si="131"/>
        <v>19.166666666666668</v>
      </c>
      <c r="DH73" s="1">
        <f t="shared" si="131"/>
        <v>19.333333333333332</v>
      </c>
      <c r="DI73" s="1">
        <f t="shared" si="131"/>
        <v>19.5</v>
      </c>
      <c r="DJ73" s="1">
        <f t="shared" si="131"/>
        <v>19.666666666666668</v>
      </c>
      <c r="DK73" s="1">
        <f t="shared" si="121"/>
        <v>19.833333333333332</v>
      </c>
      <c r="DL73" s="1">
        <f t="shared" si="115"/>
        <v>20</v>
      </c>
      <c r="DM73" s="1">
        <f t="shared" si="137"/>
        <v>20.166666666666668</v>
      </c>
      <c r="DN73" s="1">
        <f t="shared" si="137"/>
        <v>20.333333333333332</v>
      </c>
      <c r="DO73" s="1">
        <f t="shared" si="137"/>
        <v>20.5</v>
      </c>
      <c r="DP73" s="1">
        <f t="shared" si="137"/>
        <v>20.666666666666668</v>
      </c>
      <c r="DQ73" s="1">
        <f t="shared" si="137"/>
        <v>20.833333333333332</v>
      </c>
      <c r="DR73" s="1">
        <f t="shared" si="137"/>
        <v>21</v>
      </c>
      <c r="DS73" s="1">
        <f t="shared" si="137"/>
        <v>21.166666666666668</v>
      </c>
    </row>
    <row r="74" spans="1:123" x14ac:dyDescent="0.3">
      <c r="A74" s="81"/>
      <c r="B74" s="13" t="str">
        <f t="shared" si="99"/>
        <v>0x3D</v>
      </c>
      <c r="C74" s="12">
        <f t="shared" si="101"/>
        <v>61</v>
      </c>
      <c r="D74" s="1">
        <f t="shared" si="135"/>
        <v>1.3114754098360655</v>
      </c>
      <c r="E74" s="1">
        <f t="shared" si="135"/>
        <v>1.4754098360655739</v>
      </c>
      <c r="F74" s="1">
        <f t="shared" si="135"/>
        <v>1.639344262295082</v>
      </c>
      <c r="G74" s="1">
        <f t="shared" si="135"/>
        <v>1.8032786885245902</v>
      </c>
      <c r="H74" s="1">
        <f t="shared" si="135"/>
        <v>1.9672131147540983</v>
      </c>
      <c r="I74" s="1">
        <f t="shared" si="135"/>
        <v>2.1311475409836067</v>
      </c>
      <c r="J74" s="1">
        <f t="shared" si="135"/>
        <v>2.2950819672131146</v>
      </c>
      <c r="K74" s="1">
        <f t="shared" si="135"/>
        <v>2.459016393442623</v>
      </c>
      <c r="L74" s="1">
        <f t="shared" si="135"/>
        <v>2.622950819672131</v>
      </c>
      <c r="M74" s="1">
        <f t="shared" si="135"/>
        <v>2.7868852459016393</v>
      </c>
      <c r="N74" s="1">
        <f t="shared" si="135"/>
        <v>2.9508196721311477</v>
      </c>
      <c r="O74" s="1">
        <f t="shared" si="135"/>
        <v>3.1147540983606556</v>
      </c>
      <c r="P74" s="1">
        <f t="shared" si="135"/>
        <v>3.278688524590164</v>
      </c>
      <c r="Q74" s="1">
        <f t="shared" si="135"/>
        <v>3.442622950819672</v>
      </c>
      <c r="R74" s="1">
        <f t="shared" si="135"/>
        <v>3.6065573770491803</v>
      </c>
      <c r="S74" s="1">
        <f t="shared" si="135"/>
        <v>3.7704918032786887</v>
      </c>
      <c r="T74" s="1">
        <f t="shared" si="134"/>
        <v>3.9344262295081966</v>
      </c>
      <c r="U74" s="1">
        <f t="shared" si="134"/>
        <v>4.0983606557377046</v>
      </c>
      <c r="V74" s="1">
        <f t="shared" si="134"/>
        <v>4.2622950819672134</v>
      </c>
      <c r="W74" s="1">
        <f t="shared" si="134"/>
        <v>4.4262295081967213</v>
      </c>
      <c r="X74" s="1">
        <f t="shared" si="134"/>
        <v>4.5901639344262293</v>
      </c>
      <c r="Y74" s="1">
        <f t="shared" si="134"/>
        <v>4.7540983606557381</v>
      </c>
      <c r="Z74" s="1">
        <f t="shared" si="134"/>
        <v>4.918032786885246</v>
      </c>
      <c r="AA74" s="1">
        <f t="shared" si="134"/>
        <v>5.081967213114754</v>
      </c>
      <c r="AB74" s="1">
        <f t="shared" si="134"/>
        <v>5.2459016393442619</v>
      </c>
      <c r="AC74" s="1">
        <f t="shared" si="134"/>
        <v>5.4098360655737707</v>
      </c>
      <c r="AD74" s="1">
        <f t="shared" si="134"/>
        <v>5.5737704918032787</v>
      </c>
      <c r="AE74" s="1">
        <f t="shared" si="134"/>
        <v>5.7377049180327866</v>
      </c>
      <c r="AF74" s="1">
        <f t="shared" si="134"/>
        <v>5.9016393442622954</v>
      </c>
      <c r="AG74" s="1">
        <f t="shared" si="134"/>
        <v>6.0655737704918034</v>
      </c>
      <c r="AH74" s="1">
        <f t="shared" si="134"/>
        <v>6.2295081967213113</v>
      </c>
      <c r="AI74" s="1">
        <f t="shared" si="139"/>
        <v>6.3934426229508201</v>
      </c>
      <c r="AJ74" s="1">
        <f t="shared" si="139"/>
        <v>6.557377049180328</v>
      </c>
      <c r="AK74" s="1">
        <f t="shared" si="139"/>
        <v>6.721311475409836</v>
      </c>
      <c r="AL74" s="1">
        <f t="shared" si="139"/>
        <v>6.8852459016393439</v>
      </c>
      <c r="AM74" s="1">
        <f t="shared" si="139"/>
        <v>7.0491803278688527</v>
      </c>
      <c r="AN74" s="1">
        <f t="shared" si="139"/>
        <v>7.2131147540983607</v>
      </c>
      <c r="AO74" s="1">
        <f t="shared" si="139"/>
        <v>7.3770491803278686</v>
      </c>
      <c r="AP74" s="1">
        <f t="shared" si="139"/>
        <v>7.5409836065573774</v>
      </c>
      <c r="AQ74" s="1">
        <f t="shared" si="139"/>
        <v>7.7049180327868854</v>
      </c>
      <c r="AR74" s="1">
        <f t="shared" si="139"/>
        <v>7.8688524590163933</v>
      </c>
      <c r="AS74" s="1">
        <f t="shared" si="139"/>
        <v>8.0327868852459012</v>
      </c>
      <c r="AT74" s="1">
        <f t="shared" si="139"/>
        <v>8.1967213114754092</v>
      </c>
      <c r="AU74" s="1">
        <f t="shared" si="139"/>
        <v>8.3606557377049189</v>
      </c>
      <c r="AV74" s="1">
        <f t="shared" si="139"/>
        <v>8.5245901639344268</v>
      </c>
      <c r="AW74" s="1">
        <f t="shared" si="139"/>
        <v>8.6885245901639347</v>
      </c>
      <c r="AX74" s="1">
        <f t="shared" si="139"/>
        <v>8.8524590163934427</v>
      </c>
      <c r="AY74" s="1">
        <f t="shared" si="138"/>
        <v>9.0163934426229506</v>
      </c>
      <c r="AZ74" s="1">
        <f t="shared" si="138"/>
        <v>9.1803278688524586</v>
      </c>
      <c r="BA74" s="1">
        <f t="shared" si="138"/>
        <v>9.3442622950819665</v>
      </c>
      <c r="BB74" s="1">
        <f t="shared" si="138"/>
        <v>9.5081967213114762</v>
      </c>
      <c r="BC74" s="1">
        <f t="shared" si="138"/>
        <v>9.6721311475409841</v>
      </c>
      <c r="BD74" s="1">
        <f t="shared" si="138"/>
        <v>9.8360655737704921</v>
      </c>
      <c r="BE74" s="1">
        <f t="shared" si="138"/>
        <v>10</v>
      </c>
      <c r="BF74" s="1">
        <f t="shared" si="138"/>
        <v>10.163934426229508</v>
      </c>
      <c r="BG74" s="1">
        <f t="shared" si="138"/>
        <v>10.327868852459016</v>
      </c>
      <c r="BH74" s="1">
        <f t="shared" si="138"/>
        <v>10.491803278688524</v>
      </c>
      <c r="BI74" s="1">
        <f t="shared" si="138"/>
        <v>10.655737704918034</v>
      </c>
      <c r="BJ74" s="1">
        <f t="shared" si="138"/>
        <v>10.819672131147541</v>
      </c>
      <c r="BK74" s="1">
        <f t="shared" si="138"/>
        <v>10.983606557377049</v>
      </c>
      <c r="BL74" s="1">
        <f t="shared" si="138"/>
        <v>11.147540983606557</v>
      </c>
      <c r="BM74" s="1">
        <f t="shared" si="138"/>
        <v>11.311475409836065</v>
      </c>
      <c r="BN74" s="1">
        <f t="shared" si="127"/>
        <v>11.475409836065573</v>
      </c>
      <c r="BO74" s="1">
        <f t="shared" si="125"/>
        <v>11.639344262295081</v>
      </c>
      <c r="BP74" s="1">
        <f t="shared" si="125"/>
        <v>11.803278688524591</v>
      </c>
      <c r="BQ74" s="1">
        <f t="shared" si="125"/>
        <v>11.967213114754099</v>
      </c>
      <c r="BR74" s="1">
        <f t="shared" si="125"/>
        <v>12.131147540983607</v>
      </c>
      <c r="BS74" s="1">
        <f t="shared" si="125"/>
        <v>12.295081967213115</v>
      </c>
      <c r="BT74" s="1">
        <f t="shared" si="125"/>
        <v>12.459016393442623</v>
      </c>
      <c r="BU74" s="1">
        <f t="shared" si="125"/>
        <v>12.622950819672131</v>
      </c>
      <c r="BV74" s="1">
        <f t="shared" si="125"/>
        <v>12.78688524590164</v>
      </c>
      <c r="BW74" s="1">
        <f t="shared" si="125"/>
        <v>12.950819672131148</v>
      </c>
      <c r="BX74" s="1">
        <f t="shared" si="125"/>
        <v>13.114754098360656</v>
      </c>
      <c r="BY74" s="1">
        <f t="shared" si="125"/>
        <v>13.278688524590164</v>
      </c>
      <c r="BZ74" s="1">
        <f t="shared" si="125"/>
        <v>13.442622950819672</v>
      </c>
      <c r="CA74" s="1">
        <f t="shared" si="125"/>
        <v>13.60655737704918</v>
      </c>
      <c r="CB74" s="1">
        <f t="shared" si="125"/>
        <v>13.770491803278688</v>
      </c>
      <c r="CC74" s="1">
        <f t="shared" si="125"/>
        <v>13.934426229508198</v>
      </c>
      <c r="CD74" s="1">
        <f t="shared" si="133"/>
        <v>14.098360655737705</v>
      </c>
      <c r="CE74" s="1">
        <f t="shared" si="133"/>
        <v>14.262295081967213</v>
      </c>
      <c r="CF74" s="1">
        <f t="shared" si="133"/>
        <v>14.426229508196721</v>
      </c>
      <c r="CG74" s="1">
        <f t="shared" si="133"/>
        <v>14.590163934426229</v>
      </c>
      <c r="CH74" s="1">
        <f t="shared" si="133"/>
        <v>14.754098360655737</v>
      </c>
      <c r="CI74" s="1">
        <f t="shared" si="133"/>
        <v>14.918032786885245</v>
      </c>
      <c r="CJ74" s="1">
        <f t="shared" si="133"/>
        <v>15.081967213114755</v>
      </c>
      <c r="CK74" s="1">
        <f t="shared" si="133"/>
        <v>15.245901639344263</v>
      </c>
      <c r="CL74" s="1">
        <f t="shared" si="133"/>
        <v>15.409836065573771</v>
      </c>
      <c r="CM74" s="1">
        <f t="shared" si="133"/>
        <v>15.573770491803279</v>
      </c>
      <c r="CN74" s="1">
        <f t="shared" si="133"/>
        <v>15.737704918032787</v>
      </c>
      <c r="CO74" s="1">
        <f t="shared" si="133"/>
        <v>15.901639344262295</v>
      </c>
      <c r="CP74" s="1">
        <f t="shared" si="133"/>
        <v>16.065573770491802</v>
      </c>
      <c r="CQ74" s="1">
        <f t="shared" si="133"/>
        <v>16.229508196721312</v>
      </c>
      <c r="CR74" s="1">
        <f t="shared" si="133"/>
        <v>16.393442622950818</v>
      </c>
      <c r="CS74" s="1">
        <f t="shared" si="133"/>
        <v>16.557377049180328</v>
      </c>
      <c r="CT74" s="1">
        <f t="shared" si="132"/>
        <v>16.721311475409838</v>
      </c>
      <c r="CU74" s="1">
        <f t="shared" si="131"/>
        <v>16.885245901639344</v>
      </c>
      <c r="CV74" s="1">
        <f t="shared" si="131"/>
        <v>17.049180327868854</v>
      </c>
      <c r="CW74" s="1">
        <f t="shared" si="131"/>
        <v>17.21311475409836</v>
      </c>
      <c r="CX74" s="1">
        <f t="shared" si="131"/>
        <v>17.377049180327869</v>
      </c>
      <c r="CY74" s="1">
        <f t="shared" si="131"/>
        <v>17.540983606557376</v>
      </c>
      <c r="CZ74" s="1">
        <f t="shared" si="131"/>
        <v>17.704918032786885</v>
      </c>
      <c r="DA74" s="1">
        <f t="shared" si="131"/>
        <v>17.868852459016395</v>
      </c>
      <c r="DB74" s="1">
        <f t="shared" si="131"/>
        <v>18.032786885245901</v>
      </c>
      <c r="DC74" s="1">
        <f t="shared" si="131"/>
        <v>18.196721311475411</v>
      </c>
      <c r="DD74" s="1">
        <f t="shared" si="131"/>
        <v>18.360655737704917</v>
      </c>
      <c r="DE74" s="1">
        <f t="shared" si="131"/>
        <v>18.524590163934427</v>
      </c>
      <c r="DF74" s="1">
        <f t="shared" si="131"/>
        <v>18.688524590163933</v>
      </c>
      <c r="DG74" s="1">
        <f t="shared" si="131"/>
        <v>18.852459016393443</v>
      </c>
      <c r="DH74" s="1">
        <f t="shared" si="131"/>
        <v>19.016393442622952</v>
      </c>
      <c r="DI74" s="1">
        <f t="shared" si="131"/>
        <v>19.180327868852459</v>
      </c>
      <c r="DJ74" s="1">
        <f t="shared" si="131"/>
        <v>19.344262295081968</v>
      </c>
      <c r="DK74" s="1">
        <f t="shared" si="121"/>
        <v>19.508196721311474</v>
      </c>
      <c r="DL74" s="1">
        <f t="shared" si="115"/>
        <v>19.672131147540984</v>
      </c>
      <c r="DM74" s="1">
        <f t="shared" si="137"/>
        <v>19.83606557377049</v>
      </c>
      <c r="DN74" s="1">
        <f t="shared" si="137"/>
        <v>20</v>
      </c>
      <c r="DO74" s="1">
        <f t="shared" si="137"/>
        <v>20.16393442622951</v>
      </c>
      <c r="DP74" s="1">
        <f t="shared" si="137"/>
        <v>20.327868852459016</v>
      </c>
      <c r="DQ74" s="1">
        <f t="shared" si="137"/>
        <v>20.491803278688526</v>
      </c>
      <c r="DR74" s="1">
        <f t="shared" si="137"/>
        <v>20.655737704918032</v>
      </c>
      <c r="DS74" s="1">
        <f t="shared" si="137"/>
        <v>20.819672131147541</v>
      </c>
    </row>
    <row r="75" spans="1:123" x14ac:dyDescent="0.3">
      <c r="A75" s="81"/>
      <c r="B75" s="13" t="str">
        <f t="shared" si="99"/>
        <v>0x3E</v>
      </c>
      <c r="C75" s="12">
        <f t="shared" si="101"/>
        <v>62</v>
      </c>
      <c r="D75" s="1">
        <f t="shared" si="135"/>
        <v>1.2903225806451613</v>
      </c>
      <c r="E75" s="1">
        <f t="shared" si="135"/>
        <v>1.4516129032258065</v>
      </c>
      <c r="F75" s="1">
        <f t="shared" si="135"/>
        <v>1.6129032258064515</v>
      </c>
      <c r="G75" s="1">
        <f t="shared" si="135"/>
        <v>1.7741935483870968</v>
      </c>
      <c r="H75" s="1">
        <f t="shared" si="135"/>
        <v>1.935483870967742</v>
      </c>
      <c r="I75" s="1">
        <f t="shared" si="135"/>
        <v>2.096774193548387</v>
      </c>
      <c r="J75" s="1">
        <f t="shared" si="135"/>
        <v>2.2580645161290325</v>
      </c>
      <c r="K75" s="1">
        <f t="shared" si="135"/>
        <v>2.4193548387096775</v>
      </c>
      <c r="L75" s="1">
        <f t="shared" si="135"/>
        <v>2.5806451612903225</v>
      </c>
      <c r="M75" s="1">
        <f t="shared" si="135"/>
        <v>2.7419354838709675</v>
      </c>
      <c r="N75" s="1">
        <f t="shared" si="135"/>
        <v>2.903225806451613</v>
      </c>
      <c r="O75" s="1">
        <f t="shared" si="135"/>
        <v>3.064516129032258</v>
      </c>
      <c r="P75" s="1">
        <f t="shared" si="135"/>
        <v>3.225806451612903</v>
      </c>
      <c r="Q75" s="1">
        <f t="shared" si="135"/>
        <v>3.3870967741935485</v>
      </c>
      <c r="R75" s="1">
        <f t="shared" si="135"/>
        <v>3.5483870967741935</v>
      </c>
      <c r="S75" s="1">
        <f t="shared" si="135"/>
        <v>3.7096774193548385</v>
      </c>
      <c r="T75" s="1">
        <f t="shared" si="134"/>
        <v>3.870967741935484</v>
      </c>
      <c r="U75" s="1">
        <f t="shared" si="134"/>
        <v>4.032258064516129</v>
      </c>
      <c r="V75" s="1">
        <f t="shared" si="134"/>
        <v>4.193548387096774</v>
      </c>
      <c r="W75" s="1">
        <f t="shared" si="134"/>
        <v>4.354838709677419</v>
      </c>
      <c r="X75" s="1">
        <f t="shared" si="134"/>
        <v>4.5161290322580649</v>
      </c>
      <c r="Y75" s="1">
        <f t="shared" si="134"/>
        <v>4.67741935483871</v>
      </c>
      <c r="Z75" s="1">
        <f t="shared" si="134"/>
        <v>4.838709677419355</v>
      </c>
      <c r="AA75" s="1">
        <f t="shared" si="134"/>
        <v>5</v>
      </c>
      <c r="AB75" s="1">
        <f t="shared" si="134"/>
        <v>5.161290322580645</v>
      </c>
      <c r="AC75" s="1">
        <f t="shared" si="134"/>
        <v>5.32258064516129</v>
      </c>
      <c r="AD75" s="1">
        <f t="shared" si="134"/>
        <v>5.4838709677419351</v>
      </c>
      <c r="AE75" s="1">
        <f t="shared" si="134"/>
        <v>5.645161290322581</v>
      </c>
      <c r="AF75" s="1">
        <f t="shared" si="134"/>
        <v>5.806451612903226</v>
      </c>
      <c r="AG75" s="1">
        <f t="shared" si="134"/>
        <v>5.967741935483871</v>
      </c>
      <c r="AH75" s="1">
        <f t="shared" si="134"/>
        <v>6.129032258064516</v>
      </c>
      <c r="AI75" s="1">
        <f t="shared" si="139"/>
        <v>6.290322580645161</v>
      </c>
      <c r="AJ75" s="1">
        <f t="shared" si="139"/>
        <v>6.4516129032258061</v>
      </c>
      <c r="AK75" s="1">
        <f t="shared" si="139"/>
        <v>6.612903225806452</v>
      </c>
      <c r="AL75" s="1">
        <f t="shared" si="139"/>
        <v>6.774193548387097</v>
      </c>
      <c r="AM75" s="1">
        <f t="shared" si="139"/>
        <v>6.935483870967742</v>
      </c>
      <c r="AN75" s="1">
        <f t="shared" si="139"/>
        <v>7.096774193548387</v>
      </c>
      <c r="AO75" s="1">
        <f t="shared" si="139"/>
        <v>7.258064516129032</v>
      </c>
      <c r="AP75" s="1">
        <f t="shared" si="139"/>
        <v>7.419354838709677</v>
      </c>
      <c r="AQ75" s="1">
        <f t="shared" si="139"/>
        <v>7.580645161290323</v>
      </c>
      <c r="AR75" s="1">
        <f t="shared" si="139"/>
        <v>7.741935483870968</v>
      </c>
      <c r="AS75" s="1">
        <f t="shared" si="139"/>
        <v>7.903225806451613</v>
      </c>
      <c r="AT75" s="1">
        <f t="shared" si="139"/>
        <v>8.064516129032258</v>
      </c>
      <c r="AU75" s="1">
        <f t="shared" si="139"/>
        <v>8.2258064516129039</v>
      </c>
      <c r="AV75" s="1">
        <f t="shared" si="139"/>
        <v>8.387096774193548</v>
      </c>
      <c r="AW75" s="1">
        <f t="shared" si="139"/>
        <v>8.5483870967741939</v>
      </c>
      <c r="AX75" s="1">
        <f t="shared" si="139"/>
        <v>8.7096774193548381</v>
      </c>
      <c r="AY75" s="1">
        <f t="shared" si="138"/>
        <v>8.870967741935484</v>
      </c>
      <c r="AZ75" s="1">
        <f t="shared" si="138"/>
        <v>9.0322580645161299</v>
      </c>
      <c r="BA75" s="1">
        <f t="shared" si="138"/>
        <v>9.193548387096774</v>
      </c>
      <c r="BB75" s="1">
        <f t="shared" si="138"/>
        <v>9.3548387096774199</v>
      </c>
      <c r="BC75" s="1">
        <f t="shared" si="138"/>
        <v>9.5161290322580641</v>
      </c>
      <c r="BD75" s="1">
        <f t="shared" si="138"/>
        <v>9.67741935483871</v>
      </c>
      <c r="BE75" s="1">
        <f t="shared" si="138"/>
        <v>9.8387096774193541</v>
      </c>
      <c r="BF75" s="1">
        <f t="shared" si="138"/>
        <v>10</v>
      </c>
      <c r="BG75" s="1">
        <f t="shared" si="138"/>
        <v>10.161290322580646</v>
      </c>
      <c r="BH75" s="1">
        <f t="shared" si="138"/>
        <v>10.32258064516129</v>
      </c>
      <c r="BI75" s="1">
        <f t="shared" si="138"/>
        <v>10.483870967741936</v>
      </c>
      <c r="BJ75" s="1">
        <f t="shared" si="138"/>
        <v>10.64516129032258</v>
      </c>
      <c r="BK75" s="1">
        <f t="shared" si="138"/>
        <v>10.806451612903226</v>
      </c>
      <c r="BL75" s="1">
        <f t="shared" si="138"/>
        <v>10.96774193548387</v>
      </c>
      <c r="BM75" s="1">
        <f t="shared" si="138"/>
        <v>11.129032258064516</v>
      </c>
      <c r="BN75" s="1">
        <f t="shared" si="127"/>
        <v>11.290322580645162</v>
      </c>
      <c r="BO75" s="1">
        <f t="shared" si="125"/>
        <v>11.451612903225806</v>
      </c>
      <c r="BP75" s="1">
        <f t="shared" si="125"/>
        <v>11.612903225806452</v>
      </c>
      <c r="BQ75" s="1">
        <f t="shared" si="125"/>
        <v>11.774193548387096</v>
      </c>
      <c r="BR75" s="1">
        <f t="shared" si="125"/>
        <v>11.935483870967742</v>
      </c>
      <c r="BS75" s="1">
        <f t="shared" si="125"/>
        <v>12.096774193548388</v>
      </c>
      <c r="BT75" s="1">
        <f t="shared" si="125"/>
        <v>12.258064516129032</v>
      </c>
      <c r="BU75" s="1">
        <f t="shared" si="125"/>
        <v>12.419354838709678</v>
      </c>
      <c r="BV75" s="1">
        <f t="shared" si="125"/>
        <v>12.580645161290322</v>
      </c>
      <c r="BW75" s="1">
        <f t="shared" si="125"/>
        <v>12.741935483870968</v>
      </c>
      <c r="BX75" s="1">
        <f t="shared" si="125"/>
        <v>12.903225806451612</v>
      </c>
      <c r="BY75" s="1">
        <f t="shared" si="125"/>
        <v>13.064516129032258</v>
      </c>
      <c r="BZ75" s="1">
        <f t="shared" si="125"/>
        <v>13.225806451612904</v>
      </c>
      <c r="CA75" s="1">
        <f t="shared" si="125"/>
        <v>13.387096774193548</v>
      </c>
      <c r="CB75" s="1">
        <f t="shared" si="125"/>
        <v>13.548387096774194</v>
      </c>
      <c r="CC75" s="1">
        <f t="shared" si="125"/>
        <v>13.709677419354838</v>
      </c>
      <c r="CD75" s="1">
        <f t="shared" si="133"/>
        <v>13.870967741935484</v>
      </c>
      <c r="CE75" s="1">
        <f t="shared" si="133"/>
        <v>14.03225806451613</v>
      </c>
      <c r="CF75" s="1">
        <f t="shared" si="133"/>
        <v>14.193548387096774</v>
      </c>
      <c r="CG75" s="1">
        <f t="shared" si="133"/>
        <v>14.35483870967742</v>
      </c>
      <c r="CH75" s="1">
        <f t="shared" si="133"/>
        <v>14.516129032258064</v>
      </c>
      <c r="CI75" s="1">
        <f t="shared" si="133"/>
        <v>14.67741935483871</v>
      </c>
      <c r="CJ75" s="1">
        <f t="shared" si="133"/>
        <v>14.838709677419354</v>
      </c>
      <c r="CK75" s="1">
        <f t="shared" si="133"/>
        <v>15</v>
      </c>
      <c r="CL75" s="1">
        <f t="shared" si="133"/>
        <v>15.161290322580646</v>
      </c>
      <c r="CM75" s="1">
        <f t="shared" si="133"/>
        <v>15.32258064516129</v>
      </c>
      <c r="CN75" s="1">
        <f t="shared" si="133"/>
        <v>15.483870967741936</v>
      </c>
      <c r="CO75" s="1">
        <f t="shared" si="133"/>
        <v>15.64516129032258</v>
      </c>
      <c r="CP75" s="1">
        <f t="shared" si="133"/>
        <v>15.806451612903226</v>
      </c>
      <c r="CQ75" s="1">
        <f t="shared" si="133"/>
        <v>15.96774193548387</v>
      </c>
      <c r="CR75" s="1">
        <f t="shared" si="133"/>
        <v>16.129032258064516</v>
      </c>
      <c r="CS75" s="1">
        <f t="shared" si="133"/>
        <v>16.29032258064516</v>
      </c>
      <c r="CT75" s="1">
        <f t="shared" si="132"/>
        <v>16.451612903225808</v>
      </c>
      <c r="CU75" s="1">
        <f t="shared" si="131"/>
        <v>16.612903225806452</v>
      </c>
      <c r="CV75" s="1">
        <f t="shared" si="131"/>
        <v>16.774193548387096</v>
      </c>
      <c r="CW75" s="1">
        <f t="shared" si="131"/>
        <v>16.93548387096774</v>
      </c>
      <c r="CX75" s="1">
        <f t="shared" si="131"/>
        <v>17.096774193548388</v>
      </c>
      <c r="CY75" s="1">
        <f t="shared" si="131"/>
        <v>17.258064516129032</v>
      </c>
      <c r="CZ75" s="1">
        <f t="shared" si="131"/>
        <v>17.419354838709676</v>
      </c>
      <c r="DA75" s="1">
        <f t="shared" si="131"/>
        <v>17.580645161290324</v>
      </c>
      <c r="DB75" s="1">
        <f t="shared" si="131"/>
        <v>17.741935483870968</v>
      </c>
      <c r="DC75" s="1">
        <f t="shared" si="131"/>
        <v>17.903225806451612</v>
      </c>
      <c r="DD75" s="1">
        <f t="shared" si="131"/>
        <v>18.06451612903226</v>
      </c>
      <c r="DE75" s="1">
        <f t="shared" si="131"/>
        <v>18.225806451612904</v>
      </c>
      <c r="DF75" s="1">
        <f t="shared" si="131"/>
        <v>18.387096774193548</v>
      </c>
      <c r="DG75" s="1">
        <f t="shared" si="131"/>
        <v>18.548387096774192</v>
      </c>
      <c r="DH75" s="1">
        <f t="shared" si="131"/>
        <v>18.70967741935484</v>
      </c>
      <c r="DI75" s="1">
        <f t="shared" si="131"/>
        <v>18.870967741935484</v>
      </c>
      <c r="DJ75" s="1">
        <f t="shared" si="131"/>
        <v>19.032258064516128</v>
      </c>
      <c r="DK75" s="1">
        <f t="shared" si="121"/>
        <v>19.193548387096776</v>
      </c>
      <c r="DL75" s="1">
        <f t="shared" si="115"/>
        <v>19.35483870967742</v>
      </c>
      <c r="DM75" s="1">
        <f t="shared" si="137"/>
        <v>19.516129032258064</v>
      </c>
      <c r="DN75" s="1">
        <f t="shared" si="137"/>
        <v>19.677419354838708</v>
      </c>
      <c r="DO75" s="1">
        <f t="shared" si="137"/>
        <v>19.838709677419356</v>
      </c>
      <c r="DP75" s="1">
        <f t="shared" si="137"/>
        <v>20</v>
      </c>
      <c r="DQ75" s="1">
        <f t="shared" si="137"/>
        <v>20.161290322580644</v>
      </c>
      <c r="DR75" s="1">
        <f t="shared" si="137"/>
        <v>20.322580645161292</v>
      </c>
      <c r="DS75" s="1">
        <f t="shared" si="137"/>
        <v>20.483870967741936</v>
      </c>
    </row>
    <row r="76" spans="1:123" s="22" customFormat="1" x14ac:dyDescent="0.3">
      <c r="A76" s="81"/>
      <c r="B76" s="14" t="str">
        <f t="shared" si="99"/>
        <v>0x3F</v>
      </c>
      <c r="C76" s="12">
        <f t="shared" si="101"/>
        <v>63</v>
      </c>
      <c r="D76" s="1">
        <f t="shared" si="135"/>
        <v>1.2698412698412698</v>
      </c>
      <c r="E76" s="1">
        <f t="shared" si="135"/>
        <v>1.4285714285714286</v>
      </c>
      <c r="F76" s="1">
        <f t="shared" si="135"/>
        <v>1.5873015873015872</v>
      </c>
      <c r="G76" s="1">
        <f t="shared" si="135"/>
        <v>1.746031746031746</v>
      </c>
      <c r="H76" s="1">
        <f t="shared" si="135"/>
        <v>1.9047619047619047</v>
      </c>
      <c r="I76" s="1">
        <f t="shared" si="135"/>
        <v>2.0634920634920637</v>
      </c>
      <c r="J76" s="1">
        <f t="shared" si="135"/>
        <v>2.2222222222222223</v>
      </c>
      <c r="K76" s="1">
        <f t="shared" si="135"/>
        <v>2.3809523809523809</v>
      </c>
      <c r="L76" s="1">
        <f t="shared" si="135"/>
        <v>2.5396825396825395</v>
      </c>
      <c r="M76" s="1">
        <f t="shared" si="135"/>
        <v>2.6984126984126986</v>
      </c>
      <c r="N76" s="1">
        <f t="shared" si="135"/>
        <v>2.8571428571428572</v>
      </c>
      <c r="O76" s="1">
        <f t="shared" si="135"/>
        <v>3.0158730158730158</v>
      </c>
      <c r="P76" s="1">
        <f t="shared" si="135"/>
        <v>3.1746031746031744</v>
      </c>
      <c r="Q76" s="1">
        <f t="shared" si="135"/>
        <v>3.3333333333333335</v>
      </c>
      <c r="R76" s="1">
        <f t="shared" si="135"/>
        <v>3.4920634920634921</v>
      </c>
      <c r="S76" s="1">
        <f t="shared" si="135"/>
        <v>3.6507936507936507</v>
      </c>
      <c r="T76" s="1">
        <f t="shared" si="134"/>
        <v>3.8095238095238093</v>
      </c>
      <c r="U76" s="1">
        <f t="shared" si="134"/>
        <v>3.9682539682539684</v>
      </c>
      <c r="V76" s="1">
        <f t="shared" si="134"/>
        <v>4.1269841269841274</v>
      </c>
      <c r="W76" s="1">
        <f t="shared" si="134"/>
        <v>4.2857142857142856</v>
      </c>
      <c r="X76" s="1">
        <f t="shared" si="134"/>
        <v>4.4444444444444446</v>
      </c>
      <c r="Y76" s="1">
        <f t="shared" si="134"/>
        <v>4.6031746031746028</v>
      </c>
      <c r="Z76" s="1">
        <f t="shared" si="134"/>
        <v>4.7619047619047619</v>
      </c>
      <c r="AA76" s="1">
        <f t="shared" si="134"/>
        <v>4.9206349206349209</v>
      </c>
      <c r="AB76" s="1">
        <f t="shared" si="134"/>
        <v>5.0793650793650791</v>
      </c>
      <c r="AC76" s="1">
        <f t="shared" si="134"/>
        <v>5.2380952380952381</v>
      </c>
      <c r="AD76" s="1">
        <f t="shared" si="134"/>
        <v>5.3968253968253972</v>
      </c>
      <c r="AE76" s="1">
        <f t="shared" si="134"/>
        <v>5.5555555555555554</v>
      </c>
      <c r="AF76" s="1">
        <f t="shared" si="134"/>
        <v>5.7142857142857144</v>
      </c>
      <c r="AG76" s="1">
        <f t="shared" si="134"/>
        <v>5.8730158730158726</v>
      </c>
      <c r="AH76" s="1">
        <f t="shared" si="134"/>
        <v>6.0317460317460316</v>
      </c>
      <c r="AI76" s="1">
        <f t="shared" si="139"/>
        <v>6.1904761904761907</v>
      </c>
      <c r="AJ76" s="1">
        <f t="shared" si="139"/>
        <v>6.3492063492063489</v>
      </c>
      <c r="AK76" s="1">
        <f t="shared" si="139"/>
        <v>6.5079365079365079</v>
      </c>
      <c r="AL76" s="1">
        <f t="shared" si="139"/>
        <v>6.666666666666667</v>
      </c>
      <c r="AM76" s="1">
        <f t="shared" si="139"/>
        <v>6.8253968253968251</v>
      </c>
      <c r="AN76" s="1">
        <f t="shared" si="139"/>
        <v>6.9841269841269842</v>
      </c>
      <c r="AO76" s="1">
        <f t="shared" si="139"/>
        <v>7.1428571428571432</v>
      </c>
      <c r="AP76" s="1">
        <f t="shared" si="139"/>
        <v>7.3015873015873014</v>
      </c>
      <c r="AQ76" s="1">
        <f t="shared" si="139"/>
        <v>7.4603174603174605</v>
      </c>
      <c r="AR76" s="1">
        <f t="shared" si="139"/>
        <v>7.6190476190476186</v>
      </c>
      <c r="AS76" s="1">
        <f t="shared" si="139"/>
        <v>7.7777777777777777</v>
      </c>
      <c r="AT76" s="1">
        <f t="shared" si="139"/>
        <v>7.9365079365079367</v>
      </c>
      <c r="AU76" s="1">
        <f t="shared" si="139"/>
        <v>8.0952380952380949</v>
      </c>
      <c r="AV76" s="1">
        <f t="shared" si="139"/>
        <v>8.2539682539682548</v>
      </c>
      <c r="AW76" s="1">
        <f t="shared" si="139"/>
        <v>8.412698412698413</v>
      </c>
      <c r="AX76" s="1">
        <f t="shared" si="139"/>
        <v>8.5714285714285712</v>
      </c>
      <c r="AY76" s="1">
        <f t="shared" si="138"/>
        <v>8.7301587301587293</v>
      </c>
      <c r="AZ76" s="1">
        <f t="shared" si="138"/>
        <v>8.8888888888888893</v>
      </c>
      <c r="BA76" s="1">
        <f t="shared" si="138"/>
        <v>9.0476190476190474</v>
      </c>
      <c r="BB76" s="1">
        <f t="shared" si="138"/>
        <v>9.2063492063492056</v>
      </c>
      <c r="BC76" s="1">
        <f t="shared" si="138"/>
        <v>9.3650793650793656</v>
      </c>
      <c r="BD76" s="1">
        <f t="shared" si="138"/>
        <v>9.5238095238095237</v>
      </c>
      <c r="BE76" s="1">
        <f t="shared" si="138"/>
        <v>9.6825396825396819</v>
      </c>
      <c r="BF76" s="1">
        <f t="shared" si="138"/>
        <v>9.8412698412698418</v>
      </c>
      <c r="BG76" s="1">
        <f t="shared" si="138"/>
        <v>10</v>
      </c>
      <c r="BH76" s="1">
        <f t="shared" si="138"/>
        <v>10.158730158730158</v>
      </c>
      <c r="BI76" s="1">
        <f t="shared" si="138"/>
        <v>10.317460317460318</v>
      </c>
      <c r="BJ76" s="1">
        <f t="shared" si="138"/>
        <v>10.476190476190476</v>
      </c>
      <c r="BK76" s="1">
        <f t="shared" si="138"/>
        <v>10.634920634920634</v>
      </c>
      <c r="BL76" s="1">
        <f t="shared" si="138"/>
        <v>10.793650793650794</v>
      </c>
      <c r="BM76" s="1">
        <f t="shared" si="138"/>
        <v>10.952380952380953</v>
      </c>
      <c r="BN76" s="1">
        <f t="shared" si="127"/>
        <v>11.111111111111111</v>
      </c>
      <c r="BO76" s="1">
        <f t="shared" si="125"/>
        <v>11.269841269841271</v>
      </c>
      <c r="BP76" s="1">
        <f t="shared" si="125"/>
        <v>11.428571428571429</v>
      </c>
      <c r="BQ76" s="1">
        <f t="shared" si="125"/>
        <v>11.587301587301587</v>
      </c>
      <c r="BR76" s="1">
        <f t="shared" si="125"/>
        <v>11.746031746031745</v>
      </c>
      <c r="BS76" s="1">
        <f t="shared" si="125"/>
        <v>11.904761904761905</v>
      </c>
      <c r="BT76" s="1">
        <f t="shared" si="125"/>
        <v>12.063492063492063</v>
      </c>
      <c r="BU76" s="1">
        <f t="shared" si="125"/>
        <v>12.222222222222221</v>
      </c>
      <c r="BV76" s="1">
        <f t="shared" si="125"/>
        <v>12.380952380952381</v>
      </c>
      <c r="BW76" s="1">
        <f t="shared" si="125"/>
        <v>12.53968253968254</v>
      </c>
      <c r="BX76" s="1">
        <f t="shared" si="125"/>
        <v>12.698412698412698</v>
      </c>
      <c r="BY76" s="1">
        <f t="shared" si="125"/>
        <v>12.857142857142858</v>
      </c>
      <c r="BZ76" s="1">
        <f t="shared" si="125"/>
        <v>13.015873015873016</v>
      </c>
      <c r="CA76" s="1">
        <f t="shared" si="125"/>
        <v>13.174603174603174</v>
      </c>
      <c r="CB76" s="1">
        <f t="shared" si="125"/>
        <v>13.333333333333334</v>
      </c>
      <c r="CC76" s="1">
        <f t="shared" si="125"/>
        <v>13.492063492063492</v>
      </c>
      <c r="CD76" s="1">
        <f t="shared" si="133"/>
        <v>13.65079365079365</v>
      </c>
      <c r="CE76" s="1">
        <f t="shared" si="133"/>
        <v>13.80952380952381</v>
      </c>
      <c r="CF76" s="1">
        <f t="shared" si="133"/>
        <v>13.968253968253968</v>
      </c>
      <c r="CG76" s="1">
        <f t="shared" si="133"/>
        <v>14.126984126984127</v>
      </c>
      <c r="CH76" s="1">
        <f t="shared" si="133"/>
        <v>14.285714285714286</v>
      </c>
      <c r="CI76" s="1">
        <f t="shared" si="133"/>
        <v>14.444444444444445</v>
      </c>
      <c r="CJ76" s="1">
        <f t="shared" si="133"/>
        <v>14.603174603174603</v>
      </c>
      <c r="CK76" s="1">
        <f t="shared" si="133"/>
        <v>14.761904761904763</v>
      </c>
      <c r="CL76" s="1">
        <f t="shared" si="133"/>
        <v>14.920634920634921</v>
      </c>
      <c r="CM76" s="1">
        <f t="shared" si="133"/>
        <v>15.079365079365079</v>
      </c>
      <c r="CN76" s="1">
        <f t="shared" si="133"/>
        <v>15.238095238095237</v>
      </c>
      <c r="CO76" s="1">
        <f t="shared" si="133"/>
        <v>15.396825396825397</v>
      </c>
      <c r="CP76" s="1">
        <f t="shared" si="133"/>
        <v>15.555555555555555</v>
      </c>
      <c r="CQ76" s="1">
        <f t="shared" si="133"/>
        <v>15.714285714285714</v>
      </c>
      <c r="CR76" s="1">
        <f t="shared" si="133"/>
        <v>15.873015873015873</v>
      </c>
      <c r="CS76" s="1">
        <f t="shared" si="133"/>
        <v>16.031746031746032</v>
      </c>
      <c r="CT76" s="1">
        <f t="shared" si="132"/>
        <v>16.19047619047619</v>
      </c>
      <c r="CU76" s="1">
        <f t="shared" si="131"/>
        <v>16.349206349206348</v>
      </c>
      <c r="CV76" s="1">
        <f t="shared" si="131"/>
        <v>16.50793650793651</v>
      </c>
      <c r="CW76" s="1">
        <f t="shared" si="131"/>
        <v>16.666666666666668</v>
      </c>
      <c r="CX76" s="1">
        <f t="shared" si="131"/>
        <v>16.825396825396826</v>
      </c>
      <c r="CY76" s="1">
        <f t="shared" si="131"/>
        <v>16.984126984126984</v>
      </c>
      <c r="CZ76" s="1">
        <f t="shared" si="131"/>
        <v>17.142857142857142</v>
      </c>
      <c r="DA76" s="1">
        <f t="shared" si="131"/>
        <v>17.301587301587301</v>
      </c>
      <c r="DB76" s="1">
        <f t="shared" si="131"/>
        <v>17.460317460317459</v>
      </c>
      <c r="DC76" s="1">
        <f t="shared" si="131"/>
        <v>17.61904761904762</v>
      </c>
      <c r="DD76" s="1">
        <f t="shared" si="131"/>
        <v>17.777777777777779</v>
      </c>
      <c r="DE76" s="1">
        <f t="shared" si="131"/>
        <v>17.936507936507937</v>
      </c>
      <c r="DF76" s="1">
        <f t="shared" si="131"/>
        <v>18.095238095238095</v>
      </c>
      <c r="DG76" s="1">
        <f t="shared" si="131"/>
        <v>18.253968253968253</v>
      </c>
      <c r="DH76" s="1">
        <f t="shared" si="131"/>
        <v>18.412698412698411</v>
      </c>
      <c r="DI76" s="1">
        <f t="shared" si="131"/>
        <v>18.571428571428573</v>
      </c>
      <c r="DJ76" s="1">
        <f t="shared" si="131"/>
        <v>18.730158730158731</v>
      </c>
      <c r="DK76" s="1">
        <f t="shared" si="121"/>
        <v>18.888888888888889</v>
      </c>
      <c r="DL76" s="1">
        <f t="shared" si="115"/>
        <v>19.047619047619047</v>
      </c>
      <c r="DM76" s="1">
        <f t="shared" si="137"/>
        <v>19.206349206349206</v>
      </c>
      <c r="DN76" s="1">
        <f t="shared" si="137"/>
        <v>19.365079365079364</v>
      </c>
      <c r="DO76" s="1">
        <f t="shared" si="137"/>
        <v>19.523809523809526</v>
      </c>
      <c r="DP76" s="1">
        <f t="shared" si="137"/>
        <v>19.682539682539684</v>
      </c>
      <c r="DQ76" s="1">
        <f t="shared" si="137"/>
        <v>19.841269841269842</v>
      </c>
      <c r="DR76" s="1">
        <f t="shared" si="137"/>
        <v>20</v>
      </c>
      <c r="DS76" s="1">
        <f t="shared" si="137"/>
        <v>20.158730158730158</v>
      </c>
    </row>
  </sheetData>
  <mergeCells count="7">
    <mergeCell ref="D11:DS11"/>
    <mergeCell ref="V2:Z6"/>
    <mergeCell ref="A14:A76"/>
    <mergeCell ref="D1:V1"/>
    <mergeCell ref="A3:B3"/>
    <mergeCell ref="A1:C2"/>
    <mergeCell ref="A4:B4"/>
  </mergeCells>
  <conditionalFormatting sqref="D14:DS76">
    <cfRule type="expression" dxfId="22" priority="2" stopIfTrue="1">
      <formula>OR($U$2*D$13*2/$U$3 &lt; $U$5, $U$2*D$13*2/$U$3 &gt; $U$6)</formula>
    </cfRule>
    <cfRule type="expression" dxfId="21" priority="12">
      <formula>D14&gt;$U$4</formula>
    </cfRule>
    <cfRule type="expression" dxfId="20" priority="13" stopIfTrue="1">
      <formula>D14 = $U$4</formula>
    </cfRule>
  </conditionalFormatting>
  <conditionalFormatting sqref="S11">
    <cfRule type="expression" dxfId="19" priority="4">
      <formula>"OR(S11 &gt; pll0_phi!$U$6, S11 &lt; pll0_phi!$U$5)"</formula>
    </cfRule>
  </conditionalFormatting>
  <conditionalFormatting sqref="C4">
    <cfRule type="expression" dxfId="18" priority="3">
      <formula>OR(B7/C4 &lt;#REF!, B7/C4&gt;#REF!)</formula>
    </cfRule>
  </conditionalFormatting>
  <dataValidations count="1">
    <dataValidation type="list" allowBlank="1" showInputMessage="1" showErrorMessage="1" sqref="C4" xr:uid="{00000000-0002-0000-0500-000000000000}">
      <formula1>"1,2,3,4,5,6,7"</formula1>
    </dataValidation>
  </dataValidations>
  <hyperlinks>
    <hyperlink ref="S4" location="pll0_phi!C3" display="Requested F(phi)" xr:uid="{00000000-0004-0000-0500-000000000000}"/>
    <hyperlink ref="S3" location="pll0_phi!C4" display="PLL0DV[PREDIV]" xr:uid="{00000000-0004-0000-0500-000001000000}"/>
    <hyperlink ref="S2" location="PLL0!C11" display="PLL0 reference" xr:uid="{00000000-0004-0000-0500-000002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81B5568-ABB5-48A4-8551-8FB647C67E91}">
            <xm:f>OR($U$2/$U$3&lt;Limits!$B$5,$U$2/$U$3&gt;Limits!$B$6)</xm:f>
            <x14:dxf>
              <fill>
                <patternFill>
                  <bgColor rgb="FFFF0000"/>
                </patternFill>
              </fill>
            </x14:dxf>
          </x14:cfRule>
          <xm:sqref>D14:DS76</xm:sqref>
        </x14:conditionalFormatting>
        <x14:conditionalFormatting xmlns:xm="http://schemas.microsoft.com/office/excel/2006/main">
          <x14:cfRule type="expression" priority="29" id="{14D0B8D1-81ED-43EC-9C9E-D52485BCEBE0}">
            <xm:f>OR(D14&lt;Limits!$B$9,D14&gt;Limits!$B$10)</xm:f>
            <x14:dxf>
              <fill>
                <patternFill>
                  <bgColor rgb="FFFF0000"/>
                </patternFill>
              </fill>
            </x14:dxf>
          </x14:cfRule>
          <xm:sqref>D14:DS76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DS28"/>
  <sheetViews>
    <sheetView zoomScale="80" zoomScaleNormal="80" workbookViewId="0">
      <pane xSplit="3" ySplit="16" topLeftCell="D17" activePane="bottomRight" state="frozen"/>
      <selection pane="topRight" activeCell="C1" sqref="C1"/>
      <selection pane="bottomLeft" activeCell="A12" sqref="A12"/>
      <selection pane="bottomRight" activeCell="P28" sqref="P28"/>
    </sheetView>
  </sheetViews>
  <sheetFormatPr baseColWidth="10" defaultColWidth="8.88671875" defaultRowHeight="14.4" x14ac:dyDescent="0.3"/>
  <cols>
    <col min="2" max="3" width="8.6640625" customWidth="1"/>
  </cols>
  <sheetData>
    <row r="1" spans="1:123" ht="69" customHeight="1" thickTop="1" x14ac:dyDescent="0.35">
      <c r="A1" s="86" t="s">
        <v>54</v>
      </c>
      <c r="B1" s="87"/>
      <c r="C1" s="88"/>
      <c r="D1" s="82" t="s">
        <v>64</v>
      </c>
      <c r="E1" s="97"/>
      <c r="F1" s="97"/>
      <c r="G1" s="97"/>
      <c r="H1" s="97"/>
      <c r="I1" s="97"/>
      <c r="J1" s="97"/>
      <c r="K1" s="97"/>
      <c r="L1" s="97"/>
      <c r="M1" s="97"/>
      <c r="N1" s="97"/>
      <c r="O1" s="97"/>
      <c r="P1" s="97"/>
      <c r="Q1" s="97"/>
      <c r="R1" s="97"/>
      <c r="S1" s="97"/>
      <c r="T1" s="97"/>
      <c r="U1" s="11"/>
      <c r="V1" s="11"/>
      <c r="W1" s="11"/>
      <c r="X1" s="11"/>
    </row>
    <row r="2" spans="1:123" ht="15.75" customHeight="1" thickBot="1" x14ac:dyDescent="0.35">
      <c r="A2" s="89"/>
      <c r="B2" s="90"/>
      <c r="C2" s="91"/>
      <c r="T2" s="42" t="s">
        <v>8</v>
      </c>
      <c r="V2">
        <f>IF(Tree!E22=0,16,Tree!B22)</f>
        <v>40</v>
      </c>
      <c r="W2" s="78" t="s">
        <v>62</v>
      </c>
      <c r="X2" s="96"/>
    </row>
    <row r="3" spans="1:123" ht="15.75" customHeight="1" thickTop="1" thickBot="1" x14ac:dyDescent="0.35">
      <c r="A3" s="85" t="s">
        <v>52</v>
      </c>
      <c r="B3" s="85"/>
      <c r="C3" s="56">
        <v>40</v>
      </c>
      <c r="T3" s="42" t="s">
        <v>7</v>
      </c>
      <c r="V3">
        <f>C4</f>
        <v>4</v>
      </c>
      <c r="W3" s="96"/>
      <c r="X3" s="96"/>
    </row>
    <row r="4" spans="1:123" ht="15.75" customHeight="1" thickTop="1" thickBot="1" x14ac:dyDescent="0.35">
      <c r="A4" s="85" t="s">
        <v>7</v>
      </c>
      <c r="B4" s="85"/>
      <c r="C4" s="56">
        <v>4</v>
      </c>
      <c r="T4" s="42" t="s">
        <v>19</v>
      </c>
      <c r="V4">
        <f>C3</f>
        <v>40</v>
      </c>
      <c r="W4" s="96"/>
      <c r="X4" s="96"/>
    </row>
    <row r="5" spans="1:123" ht="15.75" customHeight="1" thickTop="1" x14ac:dyDescent="0.3">
      <c r="T5" t="s">
        <v>2</v>
      </c>
      <c r="V5">
        <f>Limits!$B$7</f>
        <v>600</v>
      </c>
      <c r="W5" s="96"/>
      <c r="X5" s="96"/>
    </row>
    <row r="6" spans="1:123" ht="15" customHeight="1" x14ac:dyDescent="0.3">
      <c r="A6" s="28" t="s">
        <v>42</v>
      </c>
      <c r="T6" t="s">
        <v>5</v>
      </c>
      <c r="V6">
        <f>Limits!$B$8</f>
        <v>1250</v>
      </c>
      <c r="W6" s="96"/>
      <c r="X6" s="96"/>
    </row>
    <row r="7" spans="1:123" ht="15" customHeight="1" x14ac:dyDescent="0.3">
      <c r="T7" t="s">
        <v>10</v>
      </c>
      <c r="V7">
        <f>Limits!B11</f>
        <v>20</v>
      </c>
      <c r="W7" s="96"/>
      <c r="X7" s="96"/>
    </row>
    <row r="8" spans="1:123" ht="15" customHeight="1" x14ac:dyDescent="0.3">
      <c r="T8" t="s">
        <v>11</v>
      </c>
      <c r="V8">
        <f>Limits!B12</f>
        <v>156</v>
      </c>
      <c r="W8" s="96"/>
      <c r="X8" s="96"/>
    </row>
    <row r="9" spans="1:123" x14ac:dyDescent="0.3">
      <c r="M9" s="5"/>
      <c r="N9" t="s">
        <v>12</v>
      </c>
    </row>
    <row r="10" spans="1:123" x14ac:dyDescent="0.3">
      <c r="M10" s="7"/>
      <c r="N10" t="s">
        <v>13</v>
      </c>
    </row>
    <row r="11" spans="1:123" x14ac:dyDescent="0.3">
      <c r="M11" s="6"/>
      <c r="N11" t="s">
        <v>20</v>
      </c>
    </row>
    <row r="12" spans="1:123" x14ac:dyDescent="0.3">
      <c r="M12" s="18"/>
      <c r="N12" t="s">
        <v>19</v>
      </c>
    </row>
    <row r="14" spans="1:123" x14ac:dyDescent="0.3">
      <c r="D14" s="76" t="s">
        <v>6</v>
      </c>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K14" s="92"/>
      <c r="AL14" s="92"/>
      <c r="AM14" s="92"/>
      <c r="AN14" s="92"/>
      <c r="AO14" s="92"/>
      <c r="AP14" s="92"/>
      <c r="AQ14" s="92"/>
      <c r="AR14" s="92"/>
      <c r="AS14" s="92"/>
      <c r="AT14" s="92"/>
      <c r="AU14" s="92"/>
      <c r="AV14" s="92"/>
      <c r="AW14" s="92"/>
      <c r="AX14" s="92"/>
      <c r="AY14" s="92"/>
      <c r="AZ14" s="92"/>
      <c r="BA14" s="92"/>
      <c r="BB14" s="92"/>
      <c r="BC14" s="92"/>
      <c r="BD14" s="92"/>
      <c r="BE14" s="92"/>
      <c r="BF14" s="92"/>
      <c r="BG14" s="92"/>
      <c r="BH14" s="92"/>
      <c r="BI14" s="92"/>
      <c r="BJ14" s="92"/>
      <c r="BK14" s="92"/>
      <c r="BL14" s="92"/>
      <c r="BM14" s="92"/>
      <c r="BN14" s="92"/>
      <c r="BO14" s="92"/>
      <c r="BP14" s="92"/>
      <c r="BQ14" s="92"/>
      <c r="BR14" s="92"/>
      <c r="BS14" s="92"/>
      <c r="BT14" s="92"/>
      <c r="BU14" s="92"/>
      <c r="BV14" s="92"/>
      <c r="BW14" s="92"/>
      <c r="BX14" s="92"/>
      <c r="BY14" s="92"/>
      <c r="BZ14" s="92"/>
      <c r="CA14" s="92"/>
      <c r="CB14" s="92"/>
      <c r="CC14" s="92"/>
      <c r="CD14" s="92"/>
      <c r="CE14" s="92"/>
      <c r="CF14" s="92"/>
      <c r="CG14" s="92"/>
      <c r="CH14" s="92"/>
      <c r="CI14" s="92"/>
      <c r="CJ14" s="92"/>
      <c r="CK14" s="92"/>
      <c r="CL14" s="92"/>
      <c r="CM14" s="92"/>
      <c r="CN14" s="92"/>
      <c r="CO14" s="92"/>
      <c r="CP14" s="92"/>
      <c r="CQ14" s="92"/>
      <c r="CR14" s="92"/>
      <c r="CS14" s="92"/>
      <c r="CT14" s="92"/>
      <c r="CU14" s="92"/>
      <c r="CV14" s="92"/>
      <c r="CW14" s="92"/>
      <c r="CX14" s="92"/>
      <c r="CY14" s="92"/>
      <c r="CZ14" s="92"/>
      <c r="DA14" s="92"/>
      <c r="DB14" s="92"/>
      <c r="DC14" s="92"/>
      <c r="DD14" s="92"/>
      <c r="DE14" s="92"/>
      <c r="DF14" s="92"/>
      <c r="DG14" s="92"/>
      <c r="DH14" s="92"/>
      <c r="DI14" s="92"/>
      <c r="DJ14" s="92"/>
      <c r="DK14" s="92"/>
      <c r="DL14" s="92"/>
      <c r="DM14" s="92"/>
      <c r="DN14" s="92"/>
      <c r="DO14" s="92"/>
      <c r="DP14" s="92"/>
      <c r="DQ14" s="92"/>
      <c r="DR14" s="92"/>
      <c r="DS14" s="92"/>
    </row>
    <row r="15" spans="1:123" x14ac:dyDescent="0.3">
      <c r="D15" s="16" t="str">
        <f t="shared" ref="D15:AI15" si="0">"0x"&amp;DEC2HEX(D16,2)</f>
        <v>0x08</v>
      </c>
      <c r="E15" s="16" t="str">
        <f t="shared" si="0"/>
        <v>0x09</v>
      </c>
      <c r="F15" s="16" t="str">
        <f t="shared" si="0"/>
        <v>0x0A</v>
      </c>
      <c r="G15" s="16" t="str">
        <f t="shared" si="0"/>
        <v>0x0B</v>
      </c>
      <c r="H15" s="16" t="str">
        <f t="shared" si="0"/>
        <v>0x0C</v>
      </c>
      <c r="I15" s="16" t="str">
        <f t="shared" si="0"/>
        <v>0x0D</v>
      </c>
      <c r="J15" s="16" t="str">
        <f t="shared" si="0"/>
        <v>0x0E</v>
      </c>
      <c r="K15" s="16" t="str">
        <f t="shared" si="0"/>
        <v>0x0F</v>
      </c>
      <c r="L15" s="16" t="str">
        <f t="shared" si="0"/>
        <v>0x10</v>
      </c>
      <c r="M15" s="16" t="str">
        <f t="shared" si="0"/>
        <v>0x11</v>
      </c>
      <c r="N15" s="16" t="str">
        <f t="shared" si="0"/>
        <v>0x12</v>
      </c>
      <c r="O15" s="16" t="str">
        <f t="shared" si="0"/>
        <v>0x13</v>
      </c>
      <c r="P15" s="16" t="str">
        <f t="shared" si="0"/>
        <v>0x14</v>
      </c>
      <c r="Q15" s="16" t="str">
        <f t="shared" si="0"/>
        <v>0x15</v>
      </c>
      <c r="R15" s="16" t="str">
        <f t="shared" si="0"/>
        <v>0x16</v>
      </c>
      <c r="S15" s="16" t="str">
        <f t="shared" si="0"/>
        <v>0x17</v>
      </c>
      <c r="T15" s="16" t="str">
        <f t="shared" si="0"/>
        <v>0x18</v>
      </c>
      <c r="U15" s="16" t="str">
        <f t="shared" si="0"/>
        <v>0x19</v>
      </c>
      <c r="V15" s="16" t="str">
        <f t="shared" si="0"/>
        <v>0x1A</v>
      </c>
      <c r="W15" s="16" t="str">
        <f t="shared" si="0"/>
        <v>0x1B</v>
      </c>
      <c r="X15" s="16" t="str">
        <f t="shared" si="0"/>
        <v>0x1C</v>
      </c>
      <c r="Y15" s="16" t="str">
        <f t="shared" si="0"/>
        <v>0x1D</v>
      </c>
      <c r="Z15" s="16" t="str">
        <f t="shared" si="0"/>
        <v>0x1E</v>
      </c>
      <c r="AA15" s="16" t="str">
        <f t="shared" si="0"/>
        <v>0x1F</v>
      </c>
      <c r="AB15" s="16" t="str">
        <f t="shared" si="0"/>
        <v>0x20</v>
      </c>
      <c r="AC15" s="16" t="str">
        <f t="shared" si="0"/>
        <v>0x21</v>
      </c>
      <c r="AD15" s="16" t="str">
        <f t="shared" si="0"/>
        <v>0x22</v>
      </c>
      <c r="AE15" s="16" t="str">
        <f t="shared" si="0"/>
        <v>0x23</v>
      </c>
      <c r="AF15" s="16" t="str">
        <f t="shared" si="0"/>
        <v>0x24</v>
      </c>
      <c r="AG15" s="16" t="str">
        <f t="shared" si="0"/>
        <v>0x25</v>
      </c>
      <c r="AH15" s="16" t="str">
        <f t="shared" si="0"/>
        <v>0x26</v>
      </c>
      <c r="AI15" s="16" t="str">
        <f t="shared" si="0"/>
        <v>0x27</v>
      </c>
      <c r="AJ15" s="16" t="str">
        <f t="shared" ref="AJ15:BO15" si="1">"0x"&amp;DEC2HEX(AJ16,2)</f>
        <v>0x28</v>
      </c>
      <c r="AK15" s="16" t="str">
        <f t="shared" si="1"/>
        <v>0x29</v>
      </c>
      <c r="AL15" s="16" t="str">
        <f t="shared" si="1"/>
        <v>0x2A</v>
      </c>
      <c r="AM15" s="16" t="str">
        <f t="shared" si="1"/>
        <v>0x2B</v>
      </c>
      <c r="AN15" s="16" t="str">
        <f t="shared" si="1"/>
        <v>0x2C</v>
      </c>
      <c r="AO15" s="16" t="str">
        <f t="shared" si="1"/>
        <v>0x2D</v>
      </c>
      <c r="AP15" s="16" t="str">
        <f t="shared" si="1"/>
        <v>0x2E</v>
      </c>
      <c r="AQ15" s="16" t="str">
        <f t="shared" si="1"/>
        <v>0x2F</v>
      </c>
      <c r="AR15" s="16" t="str">
        <f t="shared" si="1"/>
        <v>0x30</v>
      </c>
      <c r="AS15" s="16" t="str">
        <f t="shared" si="1"/>
        <v>0x31</v>
      </c>
      <c r="AT15" s="16" t="str">
        <f t="shared" si="1"/>
        <v>0x32</v>
      </c>
      <c r="AU15" s="16" t="str">
        <f t="shared" si="1"/>
        <v>0x33</v>
      </c>
      <c r="AV15" s="16" t="str">
        <f t="shared" si="1"/>
        <v>0x34</v>
      </c>
      <c r="AW15" s="16" t="str">
        <f t="shared" si="1"/>
        <v>0x35</v>
      </c>
      <c r="AX15" s="16" t="str">
        <f t="shared" si="1"/>
        <v>0x36</v>
      </c>
      <c r="AY15" s="16" t="str">
        <f t="shared" si="1"/>
        <v>0x37</v>
      </c>
      <c r="AZ15" s="16" t="str">
        <f t="shared" si="1"/>
        <v>0x38</v>
      </c>
      <c r="BA15" s="16" t="str">
        <f t="shared" si="1"/>
        <v>0x39</v>
      </c>
      <c r="BB15" s="16" t="str">
        <f t="shared" si="1"/>
        <v>0x3A</v>
      </c>
      <c r="BC15" s="16" t="str">
        <f t="shared" si="1"/>
        <v>0x3B</v>
      </c>
      <c r="BD15" s="16" t="str">
        <f t="shared" si="1"/>
        <v>0x3C</v>
      </c>
      <c r="BE15" s="16" t="str">
        <f t="shared" si="1"/>
        <v>0x3D</v>
      </c>
      <c r="BF15" s="16" t="str">
        <f t="shared" si="1"/>
        <v>0x3E</v>
      </c>
      <c r="BG15" s="16" t="str">
        <f t="shared" si="1"/>
        <v>0x3F</v>
      </c>
      <c r="BH15" s="16" t="str">
        <f t="shared" si="1"/>
        <v>0x40</v>
      </c>
      <c r="BI15" s="16" t="str">
        <f t="shared" si="1"/>
        <v>0x41</v>
      </c>
      <c r="BJ15" s="16" t="str">
        <f t="shared" si="1"/>
        <v>0x42</v>
      </c>
      <c r="BK15" s="16" t="str">
        <f t="shared" si="1"/>
        <v>0x43</v>
      </c>
      <c r="BL15" s="16" t="str">
        <f t="shared" si="1"/>
        <v>0x44</v>
      </c>
      <c r="BM15" s="16" t="str">
        <f t="shared" si="1"/>
        <v>0x45</v>
      </c>
      <c r="BN15" s="16" t="str">
        <f t="shared" si="1"/>
        <v>0x46</v>
      </c>
      <c r="BO15" s="16" t="str">
        <f t="shared" si="1"/>
        <v>0x47</v>
      </c>
      <c r="BP15" s="16" t="str">
        <f t="shared" ref="BP15:CU15" si="2">"0x"&amp;DEC2HEX(BP16,2)</f>
        <v>0x48</v>
      </c>
      <c r="BQ15" s="16" t="str">
        <f t="shared" si="2"/>
        <v>0x49</v>
      </c>
      <c r="BR15" s="16" t="str">
        <f t="shared" si="2"/>
        <v>0x4A</v>
      </c>
      <c r="BS15" s="16" t="str">
        <f t="shared" si="2"/>
        <v>0x4B</v>
      </c>
      <c r="BT15" s="16" t="str">
        <f t="shared" si="2"/>
        <v>0x4C</v>
      </c>
      <c r="BU15" s="16" t="str">
        <f t="shared" si="2"/>
        <v>0x4D</v>
      </c>
      <c r="BV15" s="16" t="str">
        <f t="shared" si="2"/>
        <v>0x4E</v>
      </c>
      <c r="BW15" s="16" t="str">
        <f t="shared" si="2"/>
        <v>0x4F</v>
      </c>
      <c r="BX15" s="16" t="str">
        <f t="shared" si="2"/>
        <v>0x50</v>
      </c>
      <c r="BY15" s="16" t="str">
        <f t="shared" si="2"/>
        <v>0x51</v>
      </c>
      <c r="BZ15" s="16" t="str">
        <f t="shared" si="2"/>
        <v>0x52</v>
      </c>
      <c r="CA15" s="16" t="str">
        <f t="shared" si="2"/>
        <v>0x53</v>
      </c>
      <c r="CB15" s="16" t="str">
        <f t="shared" si="2"/>
        <v>0x54</v>
      </c>
      <c r="CC15" s="16" t="str">
        <f t="shared" si="2"/>
        <v>0x55</v>
      </c>
      <c r="CD15" s="16" t="str">
        <f t="shared" si="2"/>
        <v>0x56</v>
      </c>
      <c r="CE15" s="16" t="str">
        <f t="shared" si="2"/>
        <v>0x57</v>
      </c>
      <c r="CF15" s="16" t="str">
        <f t="shared" si="2"/>
        <v>0x58</v>
      </c>
      <c r="CG15" s="16" t="str">
        <f t="shared" si="2"/>
        <v>0x59</v>
      </c>
      <c r="CH15" s="16" t="str">
        <f t="shared" si="2"/>
        <v>0x5A</v>
      </c>
      <c r="CI15" s="16" t="str">
        <f t="shared" si="2"/>
        <v>0x5B</v>
      </c>
      <c r="CJ15" s="16" t="str">
        <f t="shared" si="2"/>
        <v>0x5C</v>
      </c>
      <c r="CK15" s="16" t="str">
        <f t="shared" si="2"/>
        <v>0x5D</v>
      </c>
      <c r="CL15" s="16" t="str">
        <f t="shared" si="2"/>
        <v>0x5E</v>
      </c>
      <c r="CM15" s="16" t="str">
        <f t="shared" si="2"/>
        <v>0x5F</v>
      </c>
      <c r="CN15" s="16" t="str">
        <f t="shared" si="2"/>
        <v>0x60</v>
      </c>
      <c r="CO15" s="16" t="str">
        <f t="shared" si="2"/>
        <v>0x61</v>
      </c>
      <c r="CP15" s="16" t="str">
        <f t="shared" si="2"/>
        <v>0x62</v>
      </c>
      <c r="CQ15" s="16" t="str">
        <f t="shared" si="2"/>
        <v>0x63</v>
      </c>
      <c r="CR15" s="16" t="str">
        <f t="shared" si="2"/>
        <v>0x64</v>
      </c>
      <c r="CS15" s="16" t="str">
        <f t="shared" si="2"/>
        <v>0x65</v>
      </c>
      <c r="CT15" s="16" t="str">
        <f t="shared" si="2"/>
        <v>0x66</v>
      </c>
      <c r="CU15" s="16" t="str">
        <f t="shared" si="2"/>
        <v>0x67</v>
      </c>
      <c r="CV15" s="16" t="str">
        <f t="shared" ref="CV15:DS15" si="3">"0x"&amp;DEC2HEX(CV16,2)</f>
        <v>0x68</v>
      </c>
      <c r="CW15" s="16" t="str">
        <f t="shared" si="3"/>
        <v>0x69</v>
      </c>
      <c r="CX15" s="16" t="str">
        <f t="shared" si="3"/>
        <v>0x6A</v>
      </c>
      <c r="CY15" s="16" t="str">
        <f t="shared" si="3"/>
        <v>0x6B</v>
      </c>
      <c r="CZ15" s="16" t="str">
        <f t="shared" si="3"/>
        <v>0x6C</v>
      </c>
      <c r="DA15" s="16" t="str">
        <f t="shared" si="3"/>
        <v>0x6D</v>
      </c>
      <c r="DB15" s="16" t="str">
        <f t="shared" si="3"/>
        <v>0x6E</v>
      </c>
      <c r="DC15" s="16" t="str">
        <f t="shared" si="3"/>
        <v>0x6F</v>
      </c>
      <c r="DD15" s="16" t="str">
        <f t="shared" si="3"/>
        <v>0x70</v>
      </c>
      <c r="DE15" s="16" t="str">
        <f t="shared" si="3"/>
        <v>0x71</v>
      </c>
      <c r="DF15" s="16" t="str">
        <f t="shared" si="3"/>
        <v>0x72</v>
      </c>
      <c r="DG15" s="16" t="str">
        <f t="shared" si="3"/>
        <v>0x73</v>
      </c>
      <c r="DH15" s="16" t="str">
        <f t="shared" si="3"/>
        <v>0x74</v>
      </c>
      <c r="DI15" s="16" t="str">
        <f t="shared" si="3"/>
        <v>0x75</v>
      </c>
      <c r="DJ15" s="16" t="str">
        <f t="shared" si="3"/>
        <v>0x76</v>
      </c>
      <c r="DK15" s="16" t="str">
        <f t="shared" si="3"/>
        <v>0x77</v>
      </c>
      <c r="DL15" s="16" t="str">
        <f t="shared" si="3"/>
        <v>0x78</v>
      </c>
      <c r="DM15" s="16" t="str">
        <f t="shared" si="3"/>
        <v>0x79</v>
      </c>
      <c r="DN15" s="16" t="str">
        <f t="shared" si="3"/>
        <v>0x7A</v>
      </c>
      <c r="DO15" s="16" t="str">
        <f t="shared" si="3"/>
        <v>0x7B</v>
      </c>
      <c r="DP15" s="16" t="str">
        <f t="shared" si="3"/>
        <v>0x7C</v>
      </c>
      <c r="DQ15" s="16" t="str">
        <f t="shared" si="3"/>
        <v>0x7D</v>
      </c>
      <c r="DR15" s="16" t="str">
        <f t="shared" si="3"/>
        <v>0x7E</v>
      </c>
      <c r="DS15" s="16" t="str">
        <f t="shared" si="3"/>
        <v>0x7F</v>
      </c>
    </row>
    <row r="16" spans="1:123" x14ac:dyDescent="0.3">
      <c r="C16" s="2"/>
      <c r="D16" s="17">
        <v>8</v>
      </c>
      <c r="E16" s="17">
        <f t="shared" ref="E16:L16" si="4">D16+1</f>
        <v>9</v>
      </c>
      <c r="F16" s="17">
        <f t="shared" si="4"/>
        <v>10</v>
      </c>
      <c r="G16" s="17">
        <f t="shared" si="4"/>
        <v>11</v>
      </c>
      <c r="H16" s="17">
        <f t="shared" si="4"/>
        <v>12</v>
      </c>
      <c r="I16" s="17">
        <f t="shared" si="4"/>
        <v>13</v>
      </c>
      <c r="J16" s="17">
        <f t="shared" si="4"/>
        <v>14</v>
      </c>
      <c r="K16" s="17">
        <f t="shared" si="4"/>
        <v>15</v>
      </c>
      <c r="L16" s="17">
        <f t="shared" si="4"/>
        <v>16</v>
      </c>
      <c r="M16" s="17">
        <f>L16+1</f>
        <v>17</v>
      </c>
      <c r="N16" s="17">
        <f t="shared" ref="N16:BY16" si="5">M16+1</f>
        <v>18</v>
      </c>
      <c r="O16" s="17">
        <f t="shared" si="5"/>
        <v>19</v>
      </c>
      <c r="P16" s="17">
        <f t="shared" si="5"/>
        <v>20</v>
      </c>
      <c r="Q16" s="17">
        <f t="shared" si="5"/>
        <v>21</v>
      </c>
      <c r="R16" s="17">
        <f t="shared" si="5"/>
        <v>22</v>
      </c>
      <c r="S16" s="17">
        <f t="shared" si="5"/>
        <v>23</v>
      </c>
      <c r="T16" s="17">
        <f t="shared" si="5"/>
        <v>24</v>
      </c>
      <c r="U16" s="17">
        <f t="shared" si="5"/>
        <v>25</v>
      </c>
      <c r="V16" s="17">
        <f t="shared" si="5"/>
        <v>26</v>
      </c>
      <c r="W16" s="17">
        <f t="shared" si="5"/>
        <v>27</v>
      </c>
      <c r="X16" s="17">
        <f t="shared" si="5"/>
        <v>28</v>
      </c>
      <c r="Y16" s="17">
        <f t="shared" si="5"/>
        <v>29</v>
      </c>
      <c r="Z16" s="17">
        <f t="shared" si="5"/>
        <v>30</v>
      </c>
      <c r="AA16" s="17">
        <f t="shared" si="5"/>
        <v>31</v>
      </c>
      <c r="AB16" s="17">
        <f t="shared" si="5"/>
        <v>32</v>
      </c>
      <c r="AC16" s="17">
        <f t="shared" si="5"/>
        <v>33</v>
      </c>
      <c r="AD16" s="17">
        <f t="shared" si="5"/>
        <v>34</v>
      </c>
      <c r="AE16" s="17">
        <f t="shared" si="5"/>
        <v>35</v>
      </c>
      <c r="AF16" s="17">
        <f t="shared" si="5"/>
        <v>36</v>
      </c>
      <c r="AG16" s="17">
        <f t="shared" si="5"/>
        <v>37</v>
      </c>
      <c r="AH16" s="17">
        <f t="shared" si="5"/>
        <v>38</v>
      </c>
      <c r="AI16" s="17">
        <f t="shared" si="5"/>
        <v>39</v>
      </c>
      <c r="AJ16" s="17">
        <f t="shared" si="5"/>
        <v>40</v>
      </c>
      <c r="AK16" s="17">
        <f t="shared" si="5"/>
        <v>41</v>
      </c>
      <c r="AL16" s="17">
        <f t="shared" si="5"/>
        <v>42</v>
      </c>
      <c r="AM16" s="17">
        <f t="shared" si="5"/>
        <v>43</v>
      </c>
      <c r="AN16" s="17">
        <f t="shared" si="5"/>
        <v>44</v>
      </c>
      <c r="AO16" s="17">
        <f t="shared" si="5"/>
        <v>45</v>
      </c>
      <c r="AP16" s="17">
        <f t="shared" si="5"/>
        <v>46</v>
      </c>
      <c r="AQ16" s="17">
        <f t="shared" si="5"/>
        <v>47</v>
      </c>
      <c r="AR16" s="17">
        <f t="shared" si="5"/>
        <v>48</v>
      </c>
      <c r="AS16" s="17">
        <f t="shared" si="5"/>
        <v>49</v>
      </c>
      <c r="AT16" s="17">
        <f t="shared" si="5"/>
        <v>50</v>
      </c>
      <c r="AU16" s="17">
        <f t="shared" si="5"/>
        <v>51</v>
      </c>
      <c r="AV16" s="17">
        <f t="shared" si="5"/>
        <v>52</v>
      </c>
      <c r="AW16" s="17">
        <f t="shared" si="5"/>
        <v>53</v>
      </c>
      <c r="AX16" s="17">
        <f t="shared" si="5"/>
        <v>54</v>
      </c>
      <c r="AY16" s="17">
        <f t="shared" si="5"/>
        <v>55</v>
      </c>
      <c r="AZ16" s="17">
        <f t="shared" si="5"/>
        <v>56</v>
      </c>
      <c r="BA16" s="17">
        <f t="shared" si="5"/>
        <v>57</v>
      </c>
      <c r="BB16" s="17">
        <f t="shared" si="5"/>
        <v>58</v>
      </c>
      <c r="BC16" s="17">
        <f t="shared" si="5"/>
        <v>59</v>
      </c>
      <c r="BD16" s="17">
        <f t="shared" si="5"/>
        <v>60</v>
      </c>
      <c r="BE16" s="17">
        <f t="shared" si="5"/>
        <v>61</v>
      </c>
      <c r="BF16" s="17">
        <f t="shared" si="5"/>
        <v>62</v>
      </c>
      <c r="BG16" s="17">
        <f t="shared" si="5"/>
        <v>63</v>
      </c>
      <c r="BH16" s="17">
        <f t="shared" si="5"/>
        <v>64</v>
      </c>
      <c r="BI16" s="17">
        <f t="shared" si="5"/>
        <v>65</v>
      </c>
      <c r="BJ16" s="17">
        <f t="shared" si="5"/>
        <v>66</v>
      </c>
      <c r="BK16" s="17">
        <f t="shared" si="5"/>
        <v>67</v>
      </c>
      <c r="BL16" s="17">
        <f t="shared" si="5"/>
        <v>68</v>
      </c>
      <c r="BM16" s="17">
        <f t="shared" si="5"/>
        <v>69</v>
      </c>
      <c r="BN16" s="17">
        <f t="shared" si="5"/>
        <v>70</v>
      </c>
      <c r="BO16" s="17">
        <f t="shared" si="5"/>
        <v>71</v>
      </c>
      <c r="BP16" s="17">
        <f t="shared" si="5"/>
        <v>72</v>
      </c>
      <c r="BQ16" s="17">
        <f t="shared" si="5"/>
        <v>73</v>
      </c>
      <c r="BR16" s="17">
        <f t="shared" si="5"/>
        <v>74</v>
      </c>
      <c r="BS16" s="17">
        <f t="shared" si="5"/>
        <v>75</v>
      </c>
      <c r="BT16" s="17">
        <f t="shared" si="5"/>
        <v>76</v>
      </c>
      <c r="BU16" s="17">
        <f t="shared" si="5"/>
        <v>77</v>
      </c>
      <c r="BV16" s="17">
        <f t="shared" si="5"/>
        <v>78</v>
      </c>
      <c r="BW16" s="17">
        <f t="shared" si="5"/>
        <v>79</v>
      </c>
      <c r="BX16" s="17">
        <f t="shared" si="5"/>
        <v>80</v>
      </c>
      <c r="BY16" s="17">
        <f t="shared" si="5"/>
        <v>81</v>
      </c>
      <c r="BZ16" s="17">
        <f t="shared" ref="BZ16:DS16" si="6">BY16+1</f>
        <v>82</v>
      </c>
      <c r="CA16" s="17">
        <f t="shared" si="6"/>
        <v>83</v>
      </c>
      <c r="CB16" s="17">
        <f t="shared" si="6"/>
        <v>84</v>
      </c>
      <c r="CC16" s="17">
        <f t="shared" si="6"/>
        <v>85</v>
      </c>
      <c r="CD16" s="17">
        <f t="shared" si="6"/>
        <v>86</v>
      </c>
      <c r="CE16" s="17">
        <f t="shared" si="6"/>
        <v>87</v>
      </c>
      <c r="CF16" s="17">
        <f t="shared" si="6"/>
        <v>88</v>
      </c>
      <c r="CG16" s="17">
        <f t="shared" si="6"/>
        <v>89</v>
      </c>
      <c r="CH16" s="17">
        <f t="shared" si="6"/>
        <v>90</v>
      </c>
      <c r="CI16" s="17">
        <f t="shared" si="6"/>
        <v>91</v>
      </c>
      <c r="CJ16" s="17">
        <f t="shared" si="6"/>
        <v>92</v>
      </c>
      <c r="CK16" s="17">
        <f t="shared" si="6"/>
        <v>93</v>
      </c>
      <c r="CL16" s="17">
        <f t="shared" si="6"/>
        <v>94</v>
      </c>
      <c r="CM16" s="17">
        <f t="shared" si="6"/>
        <v>95</v>
      </c>
      <c r="CN16" s="17">
        <f t="shared" si="6"/>
        <v>96</v>
      </c>
      <c r="CO16" s="17">
        <f t="shared" si="6"/>
        <v>97</v>
      </c>
      <c r="CP16" s="17">
        <f t="shared" si="6"/>
        <v>98</v>
      </c>
      <c r="CQ16" s="17">
        <f t="shared" si="6"/>
        <v>99</v>
      </c>
      <c r="CR16" s="17">
        <f t="shared" si="6"/>
        <v>100</v>
      </c>
      <c r="CS16" s="17">
        <f t="shared" si="6"/>
        <v>101</v>
      </c>
      <c r="CT16" s="17">
        <f t="shared" si="6"/>
        <v>102</v>
      </c>
      <c r="CU16" s="17">
        <f t="shared" si="6"/>
        <v>103</v>
      </c>
      <c r="CV16" s="17">
        <f t="shared" si="6"/>
        <v>104</v>
      </c>
      <c r="CW16" s="17">
        <f t="shared" si="6"/>
        <v>105</v>
      </c>
      <c r="CX16" s="17">
        <f t="shared" si="6"/>
        <v>106</v>
      </c>
      <c r="CY16" s="17">
        <f t="shared" si="6"/>
        <v>107</v>
      </c>
      <c r="CZ16" s="17">
        <f t="shared" si="6"/>
        <v>108</v>
      </c>
      <c r="DA16" s="17">
        <f t="shared" si="6"/>
        <v>109</v>
      </c>
      <c r="DB16" s="17">
        <f t="shared" si="6"/>
        <v>110</v>
      </c>
      <c r="DC16" s="17">
        <f t="shared" si="6"/>
        <v>111</v>
      </c>
      <c r="DD16" s="17">
        <f t="shared" si="6"/>
        <v>112</v>
      </c>
      <c r="DE16" s="17">
        <f t="shared" si="6"/>
        <v>113</v>
      </c>
      <c r="DF16" s="17">
        <f t="shared" si="6"/>
        <v>114</v>
      </c>
      <c r="DG16" s="17">
        <f t="shared" si="6"/>
        <v>115</v>
      </c>
      <c r="DH16" s="17">
        <f t="shared" si="6"/>
        <v>116</v>
      </c>
      <c r="DI16" s="17">
        <f t="shared" si="6"/>
        <v>117</v>
      </c>
      <c r="DJ16" s="17">
        <f t="shared" si="6"/>
        <v>118</v>
      </c>
      <c r="DK16" s="17">
        <f t="shared" si="6"/>
        <v>119</v>
      </c>
      <c r="DL16" s="17">
        <f t="shared" si="6"/>
        <v>120</v>
      </c>
      <c r="DM16" s="17">
        <f t="shared" si="6"/>
        <v>121</v>
      </c>
      <c r="DN16" s="17">
        <f t="shared" si="6"/>
        <v>122</v>
      </c>
      <c r="DO16" s="17">
        <f t="shared" si="6"/>
        <v>123</v>
      </c>
      <c r="DP16" s="17">
        <f t="shared" si="6"/>
        <v>124</v>
      </c>
      <c r="DQ16" s="17">
        <f t="shared" si="6"/>
        <v>125</v>
      </c>
      <c r="DR16" s="17">
        <f t="shared" si="6"/>
        <v>126</v>
      </c>
      <c r="DS16" s="17">
        <f t="shared" si="6"/>
        <v>127</v>
      </c>
    </row>
    <row r="17" spans="1:123" x14ac:dyDescent="0.3">
      <c r="A17" s="93" t="s">
        <v>18</v>
      </c>
      <c r="B17" s="13" t="str">
        <f t="shared" ref="B17:B28" si="7">"0x"&amp;DEC2HEX(C17,2)</f>
        <v>0x04</v>
      </c>
      <c r="C17" s="17">
        <v>4</v>
      </c>
      <c r="D17" s="1">
        <f>IF($V$3=0,0,($V$2*D$16)/ ($C17 * $V$3))</f>
        <v>20</v>
      </c>
      <c r="E17" s="1">
        <f t="shared" ref="E17:BP20" si="8">IF($V$3=0,0,($V$2*E$16)/ ($C17 * $V$3))</f>
        <v>22.5</v>
      </c>
      <c r="F17" s="1">
        <f t="shared" si="8"/>
        <v>25</v>
      </c>
      <c r="G17" s="1">
        <f t="shared" si="8"/>
        <v>27.5</v>
      </c>
      <c r="H17" s="1">
        <f t="shared" si="8"/>
        <v>30</v>
      </c>
      <c r="I17" s="1">
        <f t="shared" si="8"/>
        <v>32.5</v>
      </c>
      <c r="J17" s="1">
        <f t="shared" si="8"/>
        <v>35</v>
      </c>
      <c r="K17" s="1">
        <f t="shared" si="8"/>
        <v>37.5</v>
      </c>
      <c r="L17" s="1">
        <f t="shared" si="8"/>
        <v>40</v>
      </c>
      <c r="M17" s="1">
        <f t="shared" si="8"/>
        <v>42.5</v>
      </c>
      <c r="N17" s="1">
        <f t="shared" si="8"/>
        <v>45</v>
      </c>
      <c r="O17" s="1">
        <f t="shared" si="8"/>
        <v>47.5</v>
      </c>
      <c r="P17" s="1">
        <f t="shared" si="8"/>
        <v>50</v>
      </c>
      <c r="Q17" s="1">
        <f t="shared" si="8"/>
        <v>52.5</v>
      </c>
      <c r="R17" s="1">
        <f t="shared" si="8"/>
        <v>55</v>
      </c>
      <c r="S17" s="1">
        <f t="shared" si="8"/>
        <v>57.5</v>
      </c>
      <c r="T17" s="1">
        <f t="shared" si="8"/>
        <v>60</v>
      </c>
      <c r="U17" s="1">
        <f t="shared" si="8"/>
        <v>62.5</v>
      </c>
      <c r="V17" s="1">
        <f t="shared" si="8"/>
        <v>65</v>
      </c>
      <c r="W17" s="1">
        <f t="shared" si="8"/>
        <v>67.5</v>
      </c>
      <c r="X17" s="1">
        <f t="shared" si="8"/>
        <v>70</v>
      </c>
      <c r="Y17" s="1">
        <f t="shared" si="8"/>
        <v>72.5</v>
      </c>
      <c r="Z17" s="1">
        <f t="shared" si="8"/>
        <v>75</v>
      </c>
      <c r="AA17" s="1">
        <f t="shared" si="8"/>
        <v>77.5</v>
      </c>
      <c r="AB17" s="1">
        <f t="shared" si="8"/>
        <v>80</v>
      </c>
      <c r="AC17" s="1">
        <f t="shared" si="8"/>
        <v>82.5</v>
      </c>
      <c r="AD17" s="1">
        <f t="shared" si="8"/>
        <v>85</v>
      </c>
      <c r="AE17" s="1">
        <f t="shared" si="8"/>
        <v>87.5</v>
      </c>
      <c r="AF17" s="1">
        <f t="shared" si="8"/>
        <v>90</v>
      </c>
      <c r="AG17" s="1">
        <f t="shared" si="8"/>
        <v>92.5</v>
      </c>
      <c r="AH17" s="1">
        <f t="shared" si="8"/>
        <v>95</v>
      </c>
      <c r="AI17" s="1">
        <f t="shared" si="8"/>
        <v>97.5</v>
      </c>
      <c r="AJ17" s="1">
        <f t="shared" si="8"/>
        <v>100</v>
      </c>
      <c r="AK17" s="1">
        <f t="shared" si="8"/>
        <v>102.5</v>
      </c>
      <c r="AL17" s="1">
        <f t="shared" si="8"/>
        <v>105</v>
      </c>
      <c r="AM17" s="1">
        <f t="shared" si="8"/>
        <v>107.5</v>
      </c>
      <c r="AN17" s="1">
        <f t="shared" si="8"/>
        <v>110</v>
      </c>
      <c r="AO17" s="1">
        <f t="shared" si="8"/>
        <v>112.5</v>
      </c>
      <c r="AP17" s="1">
        <f t="shared" si="8"/>
        <v>115</v>
      </c>
      <c r="AQ17" s="1">
        <f t="shared" si="8"/>
        <v>117.5</v>
      </c>
      <c r="AR17" s="1">
        <f t="shared" si="8"/>
        <v>120</v>
      </c>
      <c r="AS17" s="1">
        <f t="shared" si="8"/>
        <v>122.5</v>
      </c>
      <c r="AT17" s="1">
        <f t="shared" si="8"/>
        <v>125</v>
      </c>
      <c r="AU17" s="1">
        <f t="shared" si="8"/>
        <v>127.5</v>
      </c>
      <c r="AV17" s="1">
        <f t="shared" si="8"/>
        <v>130</v>
      </c>
      <c r="AW17" s="1">
        <f t="shared" si="8"/>
        <v>132.5</v>
      </c>
      <c r="AX17" s="1">
        <f t="shared" si="8"/>
        <v>135</v>
      </c>
      <c r="AY17" s="1">
        <f t="shared" si="8"/>
        <v>137.5</v>
      </c>
      <c r="AZ17" s="1">
        <f t="shared" si="8"/>
        <v>140</v>
      </c>
      <c r="BA17" s="1">
        <f t="shared" si="8"/>
        <v>142.5</v>
      </c>
      <c r="BB17" s="1">
        <f t="shared" si="8"/>
        <v>145</v>
      </c>
      <c r="BC17" s="1">
        <f t="shared" si="8"/>
        <v>147.5</v>
      </c>
      <c r="BD17" s="1">
        <f t="shared" si="8"/>
        <v>150</v>
      </c>
      <c r="BE17" s="1">
        <f t="shared" si="8"/>
        <v>152.5</v>
      </c>
      <c r="BF17" s="1">
        <f t="shared" si="8"/>
        <v>155</v>
      </c>
      <c r="BG17" s="1">
        <f t="shared" si="8"/>
        <v>157.5</v>
      </c>
      <c r="BH17" s="1">
        <f t="shared" si="8"/>
        <v>160</v>
      </c>
      <c r="BI17" s="1">
        <f t="shared" si="8"/>
        <v>162.5</v>
      </c>
      <c r="BJ17" s="1">
        <f t="shared" si="8"/>
        <v>165</v>
      </c>
      <c r="BK17" s="1">
        <f t="shared" si="8"/>
        <v>167.5</v>
      </c>
      <c r="BL17" s="1">
        <f t="shared" si="8"/>
        <v>170</v>
      </c>
      <c r="BM17" s="1">
        <f t="shared" si="8"/>
        <v>172.5</v>
      </c>
      <c r="BN17" s="1">
        <f t="shared" si="8"/>
        <v>175</v>
      </c>
      <c r="BO17" s="1">
        <f t="shared" si="8"/>
        <v>177.5</v>
      </c>
      <c r="BP17" s="1">
        <f t="shared" si="8"/>
        <v>180</v>
      </c>
      <c r="BQ17" s="1">
        <f t="shared" ref="BQ17:DS21" si="9">IF($V$3=0,0,($V$2*BQ$16)/ ($C17 * $V$3))</f>
        <v>182.5</v>
      </c>
      <c r="BR17" s="1">
        <f t="shared" si="9"/>
        <v>185</v>
      </c>
      <c r="BS17" s="1">
        <f t="shared" si="9"/>
        <v>187.5</v>
      </c>
      <c r="BT17" s="1">
        <f t="shared" si="9"/>
        <v>190</v>
      </c>
      <c r="BU17" s="1">
        <f t="shared" si="9"/>
        <v>192.5</v>
      </c>
      <c r="BV17" s="1">
        <f t="shared" si="9"/>
        <v>195</v>
      </c>
      <c r="BW17" s="1">
        <f t="shared" si="9"/>
        <v>197.5</v>
      </c>
      <c r="BX17" s="1">
        <f t="shared" si="9"/>
        <v>200</v>
      </c>
      <c r="BY17" s="1">
        <f t="shared" si="9"/>
        <v>202.5</v>
      </c>
      <c r="BZ17" s="1">
        <f t="shared" si="9"/>
        <v>205</v>
      </c>
      <c r="CA17" s="1">
        <f t="shared" si="9"/>
        <v>207.5</v>
      </c>
      <c r="CB17" s="1">
        <f t="shared" si="9"/>
        <v>210</v>
      </c>
      <c r="CC17" s="1">
        <f t="shared" si="9"/>
        <v>212.5</v>
      </c>
      <c r="CD17" s="1">
        <f t="shared" si="9"/>
        <v>215</v>
      </c>
      <c r="CE17" s="1">
        <f t="shared" si="9"/>
        <v>217.5</v>
      </c>
      <c r="CF17" s="1">
        <f t="shared" si="9"/>
        <v>220</v>
      </c>
      <c r="CG17" s="1">
        <f t="shared" si="9"/>
        <v>222.5</v>
      </c>
      <c r="CH17" s="1">
        <f t="shared" si="9"/>
        <v>225</v>
      </c>
      <c r="CI17" s="1">
        <f t="shared" si="9"/>
        <v>227.5</v>
      </c>
      <c r="CJ17" s="1">
        <f t="shared" si="9"/>
        <v>230</v>
      </c>
      <c r="CK17" s="1">
        <f t="shared" si="9"/>
        <v>232.5</v>
      </c>
      <c r="CL17" s="1">
        <f t="shared" si="9"/>
        <v>235</v>
      </c>
      <c r="CM17" s="1">
        <f t="shared" si="9"/>
        <v>237.5</v>
      </c>
      <c r="CN17" s="1">
        <f t="shared" si="9"/>
        <v>240</v>
      </c>
      <c r="CO17" s="1">
        <f t="shared" si="9"/>
        <v>242.5</v>
      </c>
      <c r="CP17" s="1">
        <f t="shared" si="9"/>
        <v>245</v>
      </c>
      <c r="CQ17" s="1">
        <f t="shared" si="9"/>
        <v>247.5</v>
      </c>
      <c r="CR17" s="1">
        <f t="shared" si="9"/>
        <v>250</v>
      </c>
      <c r="CS17" s="1">
        <f t="shared" si="9"/>
        <v>252.5</v>
      </c>
      <c r="CT17" s="1">
        <f t="shared" si="9"/>
        <v>255</v>
      </c>
      <c r="CU17" s="1">
        <f t="shared" si="9"/>
        <v>257.5</v>
      </c>
      <c r="CV17" s="1">
        <f t="shared" si="9"/>
        <v>260</v>
      </c>
      <c r="CW17" s="1">
        <f t="shared" si="9"/>
        <v>262.5</v>
      </c>
      <c r="CX17" s="1">
        <f t="shared" si="9"/>
        <v>265</v>
      </c>
      <c r="CY17" s="1">
        <f t="shared" si="9"/>
        <v>267.5</v>
      </c>
      <c r="CZ17" s="1">
        <f t="shared" si="9"/>
        <v>270</v>
      </c>
      <c r="DA17" s="1">
        <f t="shared" si="9"/>
        <v>272.5</v>
      </c>
      <c r="DB17" s="1">
        <f t="shared" si="9"/>
        <v>275</v>
      </c>
      <c r="DC17" s="1">
        <f t="shared" si="9"/>
        <v>277.5</v>
      </c>
      <c r="DD17" s="1">
        <f t="shared" si="9"/>
        <v>280</v>
      </c>
      <c r="DE17" s="1">
        <f t="shared" si="9"/>
        <v>282.5</v>
      </c>
      <c r="DF17" s="1">
        <f t="shared" si="9"/>
        <v>285</v>
      </c>
      <c r="DG17" s="1">
        <f t="shared" si="9"/>
        <v>287.5</v>
      </c>
      <c r="DH17" s="1">
        <f t="shared" si="9"/>
        <v>290</v>
      </c>
      <c r="DI17" s="1">
        <f t="shared" si="9"/>
        <v>292.5</v>
      </c>
      <c r="DJ17" s="1">
        <f t="shared" si="9"/>
        <v>295</v>
      </c>
      <c r="DK17" s="1">
        <f t="shared" si="9"/>
        <v>297.5</v>
      </c>
      <c r="DL17" s="1">
        <f t="shared" si="9"/>
        <v>300</v>
      </c>
      <c r="DM17" s="1">
        <f t="shared" si="9"/>
        <v>302.5</v>
      </c>
      <c r="DN17" s="1">
        <f t="shared" si="9"/>
        <v>305</v>
      </c>
      <c r="DO17" s="1">
        <f t="shared" si="9"/>
        <v>307.5</v>
      </c>
      <c r="DP17" s="1">
        <f t="shared" si="9"/>
        <v>310</v>
      </c>
      <c r="DQ17" s="1">
        <f t="shared" si="9"/>
        <v>312.5</v>
      </c>
      <c r="DR17" s="1">
        <f t="shared" si="9"/>
        <v>315</v>
      </c>
      <c r="DS17" s="1">
        <f t="shared" si="9"/>
        <v>317.5</v>
      </c>
    </row>
    <row r="18" spans="1:123" x14ac:dyDescent="0.3">
      <c r="A18" s="94"/>
      <c r="B18" s="13" t="str">
        <f t="shared" si="7"/>
        <v>0x05</v>
      </c>
      <c r="C18" s="17">
        <f t="shared" ref="C18:C28" si="10">C17+1</f>
        <v>5</v>
      </c>
      <c r="D18" s="1">
        <f t="shared" ref="D18:S28" si="11">IF($V$3=0,0,($V$2*D$16)/ ($C18 * $V$3))</f>
        <v>16</v>
      </c>
      <c r="E18" s="1">
        <f t="shared" si="8"/>
        <v>18</v>
      </c>
      <c r="F18" s="1">
        <f t="shared" si="8"/>
        <v>20</v>
      </c>
      <c r="G18" s="1">
        <f t="shared" si="8"/>
        <v>22</v>
      </c>
      <c r="H18" s="1">
        <f t="shared" si="8"/>
        <v>24</v>
      </c>
      <c r="I18" s="1">
        <f t="shared" si="8"/>
        <v>26</v>
      </c>
      <c r="J18" s="1">
        <f t="shared" si="8"/>
        <v>28</v>
      </c>
      <c r="K18" s="1">
        <f t="shared" si="8"/>
        <v>30</v>
      </c>
      <c r="L18" s="1">
        <f t="shared" si="8"/>
        <v>32</v>
      </c>
      <c r="M18" s="1">
        <f t="shared" si="8"/>
        <v>34</v>
      </c>
      <c r="N18" s="1">
        <f t="shared" si="8"/>
        <v>36</v>
      </c>
      <c r="O18" s="1">
        <f t="shared" si="8"/>
        <v>38</v>
      </c>
      <c r="P18" s="1">
        <f t="shared" si="8"/>
        <v>40</v>
      </c>
      <c r="Q18" s="1">
        <f t="shared" si="8"/>
        <v>42</v>
      </c>
      <c r="R18" s="1">
        <f t="shared" si="8"/>
        <v>44</v>
      </c>
      <c r="S18" s="1">
        <f t="shared" si="8"/>
        <v>46</v>
      </c>
      <c r="T18" s="1">
        <f t="shared" si="8"/>
        <v>48</v>
      </c>
      <c r="U18" s="1">
        <f t="shared" si="8"/>
        <v>50</v>
      </c>
      <c r="V18" s="1">
        <f t="shared" si="8"/>
        <v>52</v>
      </c>
      <c r="W18" s="1">
        <f t="shared" si="8"/>
        <v>54</v>
      </c>
      <c r="X18" s="1">
        <f t="shared" si="8"/>
        <v>56</v>
      </c>
      <c r="Y18" s="1">
        <f t="shared" si="8"/>
        <v>58</v>
      </c>
      <c r="Z18" s="1">
        <f t="shared" si="8"/>
        <v>60</v>
      </c>
      <c r="AA18" s="1">
        <f t="shared" si="8"/>
        <v>62</v>
      </c>
      <c r="AB18" s="1">
        <f t="shared" si="8"/>
        <v>64</v>
      </c>
      <c r="AC18" s="1">
        <f t="shared" si="8"/>
        <v>66</v>
      </c>
      <c r="AD18" s="1">
        <f t="shared" si="8"/>
        <v>68</v>
      </c>
      <c r="AE18" s="1">
        <f t="shared" si="8"/>
        <v>70</v>
      </c>
      <c r="AF18" s="1">
        <f t="shared" si="8"/>
        <v>72</v>
      </c>
      <c r="AG18" s="1">
        <f t="shared" si="8"/>
        <v>74</v>
      </c>
      <c r="AH18" s="1">
        <f t="shared" si="8"/>
        <v>76</v>
      </c>
      <c r="AI18" s="1">
        <f t="shared" si="8"/>
        <v>78</v>
      </c>
      <c r="AJ18" s="1">
        <f t="shared" si="8"/>
        <v>80</v>
      </c>
      <c r="AK18" s="1">
        <f t="shared" si="8"/>
        <v>82</v>
      </c>
      <c r="AL18" s="1">
        <f t="shared" si="8"/>
        <v>84</v>
      </c>
      <c r="AM18" s="1">
        <f t="shared" si="8"/>
        <v>86</v>
      </c>
      <c r="AN18" s="1">
        <f t="shared" si="8"/>
        <v>88</v>
      </c>
      <c r="AO18" s="1">
        <f t="shared" si="8"/>
        <v>90</v>
      </c>
      <c r="AP18" s="1">
        <f t="shared" si="8"/>
        <v>92</v>
      </c>
      <c r="AQ18" s="1">
        <f t="shared" si="8"/>
        <v>94</v>
      </c>
      <c r="AR18" s="1">
        <f t="shared" si="8"/>
        <v>96</v>
      </c>
      <c r="AS18" s="1">
        <f t="shared" si="8"/>
        <v>98</v>
      </c>
      <c r="AT18" s="1">
        <f t="shared" si="8"/>
        <v>100</v>
      </c>
      <c r="AU18" s="1">
        <f t="shared" si="8"/>
        <v>102</v>
      </c>
      <c r="AV18" s="1">
        <f t="shared" si="8"/>
        <v>104</v>
      </c>
      <c r="AW18" s="1">
        <f t="shared" si="8"/>
        <v>106</v>
      </c>
      <c r="AX18" s="1">
        <f t="shared" si="8"/>
        <v>108</v>
      </c>
      <c r="AY18" s="1">
        <f t="shared" si="8"/>
        <v>110</v>
      </c>
      <c r="AZ18" s="1">
        <f t="shared" si="8"/>
        <v>112</v>
      </c>
      <c r="BA18" s="1">
        <f t="shared" si="8"/>
        <v>114</v>
      </c>
      <c r="BB18" s="1">
        <f t="shared" si="8"/>
        <v>116</v>
      </c>
      <c r="BC18" s="1">
        <f t="shared" si="8"/>
        <v>118</v>
      </c>
      <c r="BD18" s="1">
        <f t="shared" si="8"/>
        <v>120</v>
      </c>
      <c r="BE18" s="1">
        <f t="shared" si="8"/>
        <v>122</v>
      </c>
      <c r="BF18" s="1">
        <f t="shared" si="8"/>
        <v>124</v>
      </c>
      <c r="BG18" s="1">
        <f t="shared" si="8"/>
        <v>126</v>
      </c>
      <c r="BH18" s="1">
        <f t="shared" si="8"/>
        <v>128</v>
      </c>
      <c r="BI18" s="1">
        <f t="shared" si="8"/>
        <v>130</v>
      </c>
      <c r="BJ18" s="1">
        <f t="shared" si="8"/>
        <v>132</v>
      </c>
      <c r="BK18" s="1">
        <f t="shared" si="8"/>
        <v>134</v>
      </c>
      <c r="BL18" s="1">
        <f t="shared" si="8"/>
        <v>136</v>
      </c>
      <c r="BM18" s="1">
        <f t="shared" si="8"/>
        <v>138</v>
      </c>
      <c r="BN18" s="1">
        <f t="shared" si="8"/>
        <v>140</v>
      </c>
      <c r="BO18" s="1">
        <f t="shared" si="8"/>
        <v>142</v>
      </c>
      <c r="BP18" s="1">
        <f t="shared" si="8"/>
        <v>144</v>
      </c>
      <c r="BQ18" s="1">
        <f t="shared" si="9"/>
        <v>146</v>
      </c>
      <c r="BR18" s="1">
        <f t="shared" si="9"/>
        <v>148</v>
      </c>
      <c r="BS18" s="1">
        <f t="shared" si="9"/>
        <v>150</v>
      </c>
      <c r="BT18" s="1">
        <f t="shared" si="9"/>
        <v>152</v>
      </c>
      <c r="BU18" s="1">
        <f t="shared" si="9"/>
        <v>154</v>
      </c>
      <c r="BV18" s="1">
        <f t="shared" si="9"/>
        <v>156</v>
      </c>
      <c r="BW18" s="1">
        <f t="shared" si="9"/>
        <v>158</v>
      </c>
      <c r="BX18" s="1">
        <f t="shared" si="9"/>
        <v>160</v>
      </c>
      <c r="BY18" s="1">
        <f t="shared" si="9"/>
        <v>162</v>
      </c>
      <c r="BZ18" s="1">
        <f t="shared" si="9"/>
        <v>164</v>
      </c>
      <c r="CA18" s="1">
        <f t="shared" si="9"/>
        <v>166</v>
      </c>
      <c r="CB18" s="1">
        <f t="shared" si="9"/>
        <v>168</v>
      </c>
      <c r="CC18" s="1">
        <f t="shared" si="9"/>
        <v>170</v>
      </c>
      <c r="CD18" s="1">
        <f t="shared" si="9"/>
        <v>172</v>
      </c>
      <c r="CE18" s="1">
        <f t="shared" si="9"/>
        <v>174</v>
      </c>
      <c r="CF18" s="1">
        <f t="shared" si="9"/>
        <v>176</v>
      </c>
      <c r="CG18" s="1">
        <f t="shared" si="9"/>
        <v>178</v>
      </c>
      <c r="CH18" s="1">
        <f t="shared" si="9"/>
        <v>180</v>
      </c>
      <c r="CI18" s="1">
        <f t="shared" si="9"/>
        <v>182</v>
      </c>
      <c r="CJ18" s="1">
        <f t="shared" si="9"/>
        <v>184</v>
      </c>
      <c r="CK18" s="1">
        <f t="shared" si="9"/>
        <v>186</v>
      </c>
      <c r="CL18" s="1">
        <f t="shared" si="9"/>
        <v>188</v>
      </c>
      <c r="CM18" s="1">
        <f t="shared" si="9"/>
        <v>190</v>
      </c>
      <c r="CN18" s="1">
        <f t="shared" si="9"/>
        <v>192</v>
      </c>
      <c r="CO18" s="1">
        <f t="shared" si="9"/>
        <v>194</v>
      </c>
      <c r="CP18" s="1">
        <f t="shared" si="9"/>
        <v>196</v>
      </c>
      <c r="CQ18" s="1">
        <f t="shared" si="9"/>
        <v>198</v>
      </c>
      <c r="CR18" s="1">
        <f t="shared" si="9"/>
        <v>200</v>
      </c>
      <c r="CS18" s="1">
        <f t="shared" si="9"/>
        <v>202</v>
      </c>
      <c r="CT18" s="1">
        <f t="shared" si="9"/>
        <v>204</v>
      </c>
      <c r="CU18" s="1">
        <f t="shared" si="9"/>
        <v>206</v>
      </c>
      <c r="CV18" s="1">
        <f t="shared" si="9"/>
        <v>208</v>
      </c>
      <c r="CW18" s="1">
        <f t="shared" si="9"/>
        <v>210</v>
      </c>
      <c r="CX18" s="1">
        <f t="shared" si="9"/>
        <v>212</v>
      </c>
      <c r="CY18" s="1">
        <f t="shared" si="9"/>
        <v>214</v>
      </c>
      <c r="CZ18" s="1">
        <f t="shared" si="9"/>
        <v>216</v>
      </c>
      <c r="DA18" s="1">
        <f t="shared" si="9"/>
        <v>218</v>
      </c>
      <c r="DB18" s="1">
        <f t="shared" si="9"/>
        <v>220</v>
      </c>
      <c r="DC18" s="1">
        <f t="shared" si="9"/>
        <v>222</v>
      </c>
      <c r="DD18" s="1">
        <f t="shared" si="9"/>
        <v>224</v>
      </c>
      <c r="DE18" s="1">
        <f t="shared" si="9"/>
        <v>226</v>
      </c>
      <c r="DF18" s="1">
        <f t="shared" si="9"/>
        <v>228</v>
      </c>
      <c r="DG18" s="1">
        <f t="shared" si="9"/>
        <v>230</v>
      </c>
      <c r="DH18" s="1">
        <f t="shared" si="9"/>
        <v>232</v>
      </c>
      <c r="DI18" s="1">
        <f t="shared" si="9"/>
        <v>234</v>
      </c>
      <c r="DJ18" s="1">
        <f t="shared" si="9"/>
        <v>236</v>
      </c>
      <c r="DK18" s="1">
        <f t="shared" si="9"/>
        <v>238</v>
      </c>
      <c r="DL18" s="1">
        <f t="shared" si="9"/>
        <v>240</v>
      </c>
      <c r="DM18" s="1">
        <f t="shared" si="9"/>
        <v>242</v>
      </c>
      <c r="DN18" s="1">
        <f t="shared" si="9"/>
        <v>244</v>
      </c>
      <c r="DO18" s="1">
        <f t="shared" si="9"/>
        <v>246</v>
      </c>
      <c r="DP18" s="1">
        <f t="shared" si="9"/>
        <v>248</v>
      </c>
      <c r="DQ18" s="1">
        <f t="shared" si="9"/>
        <v>250</v>
      </c>
      <c r="DR18" s="1">
        <f t="shared" si="9"/>
        <v>252</v>
      </c>
      <c r="DS18" s="1">
        <f t="shared" si="9"/>
        <v>254</v>
      </c>
    </row>
    <row r="19" spans="1:123" x14ac:dyDescent="0.3">
      <c r="A19" s="94"/>
      <c r="B19" s="13" t="str">
        <f t="shared" si="7"/>
        <v>0x06</v>
      </c>
      <c r="C19" s="17">
        <f t="shared" si="10"/>
        <v>6</v>
      </c>
      <c r="D19" s="1">
        <f t="shared" si="11"/>
        <v>13.333333333333334</v>
      </c>
      <c r="E19" s="1">
        <f t="shared" si="8"/>
        <v>15</v>
      </c>
      <c r="F19" s="1">
        <f t="shared" si="8"/>
        <v>16.666666666666668</v>
      </c>
      <c r="G19" s="1">
        <f t="shared" si="8"/>
        <v>18.333333333333332</v>
      </c>
      <c r="H19" s="1">
        <f t="shared" si="8"/>
        <v>20</v>
      </c>
      <c r="I19" s="1">
        <f t="shared" si="8"/>
        <v>21.666666666666668</v>
      </c>
      <c r="J19" s="1">
        <f t="shared" si="8"/>
        <v>23.333333333333332</v>
      </c>
      <c r="K19" s="1">
        <f t="shared" si="8"/>
        <v>25</v>
      </c>
      <c r="L19" s="1">
        <f t="shared" si="8"/>
        <v>26.666666666666668</v>
      </c>
      <c r="M19" s="1">
        <f t="shared" si="8"/>
        <v>28.333333333333332</v>
      </c>
      <c r="N19" s="1">
        <f t="shared" si="8"/>
        <v>30</v>
      </c>
      <c r="O19" s="1">
        <f t="shared" si="8"/>
        <v>31.666666666666668</v>
      </c>
      <c r="P19" s="1">
        <f t="shared" si="8"/>
        <v>33.333333333333336</v>
      </c>
      <c r="Q19" s="1">
        <f t="shared" si="8"/>
        <v>35</v>
      </c>
      <c r="R19" s="1">
        <f t="shared" si="8"/>
        <v>36.666666666666664</v>
      </c>
      <c r="S19" s="1">
        <f t="shared" si="8"/>
        <v>38.333333333333336</v>
      </c>
      <c r="T19" s="1">
        <f t="shared" si="8"/>
        <v>40</v>
      </c>
      <c r="U19" s="1">
        <f t="shared" si="8"/>
        <v>41.666666666666664</v>
      </c>
      <c r="V19" s="1">
        <f t="shared" si="8"/>
        <v>43.333333333333336</v>
      </c>
      <c r="W19" s="1">
        <f t="shared" si="8"/>
        <v>45</v>
      </c>
      <c r="X19" s="1">
        <f t="shared" si="8"/>
        <v>46.666666666666664</v>
      </c>
      <c r="Y19" s="1">
        <f t="shared" si="8"/>
        <v>48.333333333333336</v>
      </c>
      <c r="Z19" s="1">
        <f t="shared" si="8"/>
        <v>50</v>
      </c>
      <c r="AA19" s="1">
        <f t="shared" si="8"/>
        <v>51.666666666666664</v>
      </c>
      <c r="AB19" s="1">
        <f t="shared" si="8"/>
        <v>53.333333333333336</v>
      </c>
      <c r="AC19" s="1">
        <f t="shared" si="8"/>
        <v>55</v>
      </c>
      <c r="AD19" s="1">
        <f t="shared" si="8"/>
        <v>56.666666666666664</v>
      </c>
      <c r="AE19" s="1">
        <f t="shared" si="8"/>
        <v>58.333333333333336</v>
      </c>
      <c r="AF19" s="1">
        <f t="shared" si="8"/>
        <v>60</v>
      </c>
      <c r="AG19" s="1">
        <f t="shared" si="8"/>
        <v>61.666666666666664</v>
      </c>
      <c r="AH19" s="1">
        <f t="shared" si="8"/>
        <v>63.333333333333336</v>
      </c>
      <c r="AI19" s="1">
        <f t="shared" si="8"/>
        <v>65</v>
      </c>
      <c r="AJ19" s="1">
        <f t="shared" si="8"/>
        <v>66.666666666666671</v>
      </c>
      <c r="AK19" s="1">
        <f t="shared" si="8"/>
        <v>68.333333333333329</v>
      </c>
      <c r="AL19" s="1">
        <f t="shared" si="8"/>
        <v>70</v>
      </c>
      <c r="AM19" s="1">
        <f t="shared" si="8"/>
        <v>71.666666666666671</v>
      </c>
      <c r="AN19" s="1">
        <f t="shared" si="8"/>
        <v>73.333333333333329</v>
      </c>
      <c r="AO19" s="1">
        <f t="shared" si="8"/>
        <v>75</v>
      </c>
      <c r="AP19" s="1">
        <f t="shared" si="8"/>
        <v>76.666666666666671</v>
      </c>
      <c r="AQ19" s="1">
        <f t="shared" si="8"/>
        <v>78.333333333333329</v>
      </c>
      <c r="AR19" s="1">
        <f t="shared" si="8"/>
        <v>80</v>
      </c>
      <c r="AS19" s="1">
        <f t="shared" si="8"/>
        <v>81.666666666666671</v>
      </c>
      <c r="AT19" s="1">
        <f t="shared" si="8"/>
        <v>83.333333333333329</v>
      </c>
      <c r="AU19" s="1">
        <f t="shared" si="8"/>
        <v>85</v>
      </c>
      <c r="AV19" s="1">
        <f t="shared" si="8"/>
        <v>86.666666666666671</v>
      </c>
      <c r="AW19" s="1">
        <f t="shared" si="8"/>
        <v>88.333333333333329</v>
      </c>
      <c r="AX19" s="1">
        <f t="shared" si="8"/>
        <v>90</v>
      </c>
      <c r="AY19" s="1">
        <f t="shared" si="8"/>
        <v>91.666666666666671</v>
      </c>
      <c r="AZ19" s="1">
        <f t="shared" si="8"/>
        <v>93.333333333333329</v>
      </c>
      <c r="BA19" s="1">
        <f t="shared" si="8"/>
        <v>95</v>
      </c>
      <c r="BB19" s="1">
        <f t="shared" si="8"/>
        <v>96.666666666666671</v>
      </c>
      <c r="BC19" s="1">
        <f t="shared" si="8"/>
        <v>98.333333333333329</v>
      </c>
      <c r="BD19" s="1">
        <f t="shared" si="8"/>
        <v>100</v>
      </c>
      <c r="BE19" s="1">
        <f t="shared" si="8"/>
        <v>101.66666666666667</v>
      </c>
      <c r="BF19" s="1">
        <f t="shared" si="8"/>
        <v>103.33333333333333</v>
      </c>
      <c r="BG19" s="1">
        <f t="shared" si="8"/>
        <v>105</v>
      </c>
      <c r="BH19" s="1">
        <f t="shared" si="8"/>
        <v>106.66666666666667</v>
      </c>
      <c r="BI19" s="1">
        <f t="shared" si="8"/>
        <v>108.33333333333333</v>
      </c>
      <c r="BJ19" s="1">
        <f t="shared" si="8"/>
        <v>110</v>
      </c>
      <c r="BK19" s="1">
        <f t="shared" si="8"/>
        <v>111.66666666666667</v>
      </c>
      <c r="BL19" s="1">
        <f t="shared" si="8"/>
        <v>113.33333333333333</v>
      </c>
      <c r="BM19" s="1">
        <f t="shared" si="8"/>
        <v>115</v>
      </c>
      <c r="BN19" s="1">
        <f t="shared" si="8"/>
        <v>116.66666666666667</v>
      </c>
      <c r="BO19" s="1">
        <f t="shared" si="8"/>
        <v>118.33333333333333</v>
      </c>
      <c r="BP19" s="1">
        <f t="shared" si="8"/>
        <v>120</v>
      </c>
      <c r="BQ19" s="1">
        <f t="shared" si="9"/>
        <v>121.66666666666667</v>
      </c>
      <c r="BR19" s="1">
        <f t="shared" si="9"/>
        <v>123.33333333333333</v>
      </c>
      <c r="BS19" s="1">
        <f t="shared" si="9"/>
        <v>125</v>
      </c>
      <c r="BT19" s="1">
        <f t="shared" si="9"/>
        <v>126.66666666666667</v>
      </c>
      <c r="BU19" s="1">
        <f t="shared" si="9"/>
        <v>128.33333333333334</v>
      </c>
      <c r="BV19" s="1">
        <f t="shared" si="9"/>
        <v>130</v>
      </c>
      <c r="BW19" s="1">
        <f t="shared" si="9"/>
        <v>131.66666666666666</v>
      </c>
      <c r="BX19" s="1">
        <f t="shared" si="9"/>
        <v>133.33333333333334</v>
      </c>
      <c r="BY19" s="1">
        <f t="shared" si="9"/>
        <v>135</v>
      </c>
      <c r="BZ19" s="1">
        <f t="shared" si="9"/>
        <v>136.66666666666666</v>
      </c>
      <c r="CA19" s="1">
        <f t="shared" si="9"/>
        <v>138.33333333333334</v>
      </c>
      <c r="CB19" s="1">
        <f t="shared" si="9"/>
        <v>140</v>
      </c>
      <c r="CC19" s="1">
        <f t="shared" si="9"/>
        <v>141.66666666666666</v>
      </c>
      <c r="CD19" s="1">
        <f t="shared" si="9"/>
        <v>143.33333333333334</v>
      </c>
      <c r="CE19" s="1">
        <f t="shared" si="9"/>
        <v>145</v>
      </c>
      <c r="CF19" s="1">
        <f t="shared" si="9"/>
        <v>146.66666666666666</v>
      </c>
      <c r="CG19" s="1">
        <f t="shared" si="9"/>
        <v>148.33333333333334</v>
      </c>
      <c r="CH19" s="1">
        <f t="shared" si="9"/>
        <v>150</v>
      </c>
      <c r="CI19" s="1">
        <f t="shared" si="9"/>
        <v>151.66666666666666</v>
      </c>
      <c r="CJ19" s="1">
        <f t="shared" si="9"/>
        <v>153.33333333333334</v>
      </c>
      <c r="CK19" s="1">
        <f t="shared" si="9"/>
        <v>155</v>
      </c>
      <c r="CL19" s="1">
        <f t="shared" si="9"/>
        <v>156.66666666666666</v>
      </c>
      <c r="CM19" s="1">
        <f t="shared" si="9"/>
        <v>158.33333333333334</v>
      </c>
      <c r="CN19" s="1">
        <f t="shared" si="9"/>
        <v>160</v>
      </c>
      <c r="CO19" s="1">
        <f t="shared" si="9"/>
        <v>161.66666666666666</v>
      </c>
      <c r="CP19" s="1">
        <f t="shared" si="9"/>
        <v>163.33333333333334</v>
      </c>
      <c r="CQ19" s="1">
        <f t="shared" si="9"/>
        <v>165</v>
      </c>
      <c r="CR19" s="1">
        <f t="shared" si="9"/>
        <v>166.66666666666666</v>
      </c>
      <c r="CS19" s="1">
        <f t="shared" si="9"/>
        <v>168.33333333333334</v>
      </c>
      <c r="CT19" s="1">
        <f t="shared" si="9"/>
        <v>170</v>
      </c>
      <c r="CU19" s="1">
        <f t="shared" si="9"/>
        <v>171.66666666666666</v>
      </c>
      <c r="CV19" s="1">
        <f t="shared" si="9"/>
        <v>173.33333333333334</v>
      </c>
      <c r="CW19" s="1">
        <f t="shared" si="9"/>
        <v>175</v>
      </c>
      <c r="CX19" s="1">
        <f t="shared" si="9"/>
        <v>176.66666666666666</v>
      </c>
      <c r="CY19" s="1">
        <f t="shared" si="9"/>
        <v>178.33333333333334</v>
      </c>
      <c r="CZ19" s="1">
        <f t="shared" si="9"/>
        <v>180</v>
      </c>
      <c r="DA19" s="1">
        <f t="shared" si="9"/>
        <v>181.66666666666666</v>
      </c>
      <c r="DB19" s="1">
        <f t="shared" si="9"/>
        <v>183.33333333333334</v>
      </c>
      <c r="DC19" s="1">
        <f t="shared" si="9"/>
        <v>185</v>
      </c>
      <c r="DD19" s="1">
        <f t="shared" si="9"/>
        <v>186.66666666666666</v>
      </c>
      <c r="DE19" s="1">
        <f t="shared" si="9"/>
        <v>188.33333333333334</v>
      </c>
      <c r="DF19" s="1">
        <f t="shared" si="9"/>
        <v>190</v>
      </c>
      <c r="DG19" s="1">
        <f t="shared" si="9"/>
        <v>191.66666666666666</v>
      </c>
      <c r="DH19" s="1">
        <f t="shared" si="9"/>
        <v>193.33333333333334</v>
      </c>
      <c r="DI19" s="1">
        <f t="shared" si="9"/>
        <v>195</v>
      </c>
      <c r="DJ19" s="1">
        <f t="shared" si="9"/>
        <v>196.66666666666666</v>
      </c>
      <c r="DK19" s="1">
        <f t="shared" si="9"/>
        <v>198.33333333333334</v>
      </c>
      <c r="DL19" s="1">
        <f t="shared" si="9"/>
        <v>200</v>
      </c>
      <c r="DM19" s="1">
        <f t="shared" si="9"/>
        <v>201.66666666666666</v>
      </c>
      <c r="DN19" s="1">
        <f t="shared" si="9"/>
        <v>203.33333333333334</v>
      </c>
      <c r="DO19" s="1">
        <f t="shared" si="9"/>
        <v>205</v>
      </c>
      <c r="DP19" s="1">
        <f t="shared" si="9"/>
        <v>206.66666666666666</v>
      </c>
      <c r="DQ19" s="1">
        <f t="shared" si="9"/>
        <v>208.33333333333334</v>
      </c>
      <c r="DR19" s="1">
        <f t="shared" si="9"/>
        <v>210</v>
      </c>
      <c r="DS19" s="1">
        <f t="shared" si="9"/>
        <v>211.66666666666666</v>
      </c>
    </row>
    <row r="20" spans="1:123" x14ac:dyDescent="0.3">
      <c r="A20" s="94"/>
      <c r="B20" s="13" t="str">
        <f t="shared" si="7"/>
        <v>0x07</v>
      </c>
      <c r="C20" s="17">
        <f t="shared" si="10"/>
        <v>7</v>
      </c>
      <c r="D20" s="1">
        <f t="shared" si="11"/>
        <v>11.428571428571429</v>
      </c>
      <c r="E20" s="1">
        <f t="shared" si="8"/>
        <v>12.857142857142858</v>
      </c>
      <c r="F20" s="1">
        <f t="shared" si="8"/>
        <v>14.285714285714286</v>
      </c>
      <c r="G20" s="1">
        <f t="shared" si="8"/>
        <v>15.714285714285714</v>
      </c>
      <c r="H20" s="1">
        <f t="shared" si="8"/>
        <v>17.142857142857142</v>
      </c>
      <c r="I20" s="1">
        <f t="shared" si="8"/>
        <v>18.571428571428573</v>
      </c>
      <c r="J20" s="1">
        <f t="shared" si="8"/>
        <v>20</v>
      </c>
      <c r="K20" s="1">
        <f t="shared" si="8"/>
        <v>21.428571428571427</v>
      </c>
      <c r="L20" s="1">
        <f t="shared" si="8"/>
        <v>22.857142857142858</v>
      </c>
      <c r="M20" s="1">
        <f t="shared" si="8"/>
        <v>24.285714285714285</v>
      </c>
      <c r="N20" s="1">
        <f t="shared" si="8"/>
        <v>25.714285714285715</v>
      </c>
      <c r="O20" s="1">
        <f t="shared" si="8"/>
        <v>27.142857142857142</v>
      </c>
      <c r="P20" s="1">
        <f t="shared" si="8"/>
        <v>28.571428571428573</v>
      </c>
      <c r="Q20" s="1">
        <f t="shared" si="8"/>
        <v>30</v>
      </c>
      <c r="R20" s="1">
        <f t="shared" si="8"/>
        <v>31.428571428571427</v>
      </c>
      <c r="S20" s="1">
        <f t="shared" si="8"/>
        <v>32.857142857142854</v>
      </c>
      <c r="T20" s="1">
        <f t="shared" si="8"/>
        <v>34.285714285714285</v>
      </c>
      <c r="U20" s="1">
        <f t="shared" si="8"/>
        <v>35.714285714285715</v>
      </c>
      <c r="V20" s="1">
        <f t="shared" si="8"/>
        <v>37.142857142857146</v>
      </c>
      <c r="W20" s="1">
        <f t="shared" si="8"/>
        <v>38.571428571428569</v>
      </c>
      <c r="X20" s="1">
        <f t="shared" si="8"/>
        <v>40</v>
      </c>
      <c r="Y20" s="1">
        <f t="shared" si="8"/>
        <v>41.428571428571431</v>
      </c>
      <c r="Z20" s="1">
        <f t="shared" si="8"/>
        <v>42.857142857142854</v>
      </c>
      <c r="AA20" s="1">
        <f t="shared" si="8"/>
        <v>44.285714285714285</v>
      </c>
      <c r="AB20" s="1">
        <f t="shared" si="8"/>
        <v>45.714285714285715</v>
      </c>
      <c r="AC20" s="1">
        <f t="shared" si="8"/>
        <v>47.142857142857146</v>
      </c>
      <c r="AD20" s="1">
        <f t="shared" si="8"/>
        <v>48.571428571428569</v>
      </c>
      <c r="AE20" s="1">
        <f t="shared" si="8"/>
        <v>50</v>
      </c>
      <c r="AF20" s="1">
        <f t="shared" si="8"/>
        <v>51.428571428571431</v>
      </c>
      <c r="AG20" s="1">
        <f t="shared" si="8"/>
        <v>52.857142857142854</v>
      </c>
      <c r="AH20" s="1">
        <f t="shared" si="8"/>
        <v>54.285714285714285</v>
      </c>
      <c r="AI20" s="1">
        <f t="shared" si="8"/>
        <v>55.714285714285715</v>
      </c>
      <c r="AJ20" s="1">
        <f t="shared" si="8"/>
        <v>57.142857142857146</v>
      </c>
      <c r="AK20" s="1">
        <f t="shared" si="8"/>
        <v>58.571428571428569</v>
      </c>
      <c r="AL20" s="1">
        <f t="shared" si="8"/>
        <v>60</v>
      </c>
      <c r="AM20" s="1">
        <f t="shared" si="8"/>
        <v>61.428571428571431</v>
      </c>
      <c r="AN20" s="1">
        <f t="shared" si="8"/>
        <v>62.857142857142854</v>
      </c>
      <c r="AO20" s="1">
        <f t="shared" si="8"/>
        <v>64.285714285714292</v>
      </c>
      <c r="AP20" s="1">
        <f t="shared" si="8"/>
        <v>65.714285714285708</v>
      </c>
      <c r="AQ20" s="1">
        <f t="shared" si="8"/>
        <v>67.142857142857139</v>
      </c>
      <c r="AR20" s="1">
        <f t="shared" si="8"/>
        <v>68.571428571428569</v>
      </c>
      <c r="AS20" s="1">
        <f t="shared" si="8"/>
        <v>70</v>
      </c>
      <c r="AT20" s="1">
        <f t="shared" si="8"/>
        <v>71.428571428571431</v>
      </c>
      <c r="AU20" s="1">
        <f t="shared" si="8"/>
        <v>72.857142857142861</v>
      </c>
      <c r="AV20" s="1">
        <f t="shared" si="8"/>
        <v>74.285714285714292</v>
      </c>
      <c r="AW20" s="1">
        <f t="shared" si="8"/>
        <v>75.714285714285708</v>
      </c>
      <c r="AX20" s="1">
        <f t="shared" si="8"/>
        <v>77.142857142857139</v>
      </c>
      <c r="AY20" s="1">
        <f t="shared" si="8"/>
        <v>78.571428571428569</v>
      </c>
      <c r="AZ20" s="1">
        <f t="shared" si="8"/>
        <v>80</v>
      </c>
      <c r="BA20" s="1">
        <f t="shared" si="8"/>
        <v>81.428571428571431</v>
      </c>
      <c r="BB20" s="1">
        <f t="shared" si="8"/>
        <v>82.857142857142861</v>
      </c>
      <c r="BC20" s="1">
        <f t="shared" si="8"/>
        <v>84.285714285714292</v>
      </c>
      <c r="BD20" s="1">
        <f t="shared" si="8"/>
        <v>85.714285714285708</v>
      </c>
      <c r="BE20" s="1">
        <f t="shared" si="8"/>
        <v>87.142857142857139</v>
      </c>
      <c r="BF20" s="1">
        <f t="shared" si="8"/>
        <v>88.571428571428569</v>
      </c>
      <c r="BG20" s="1">
        <f t="shared" si="8"/>
        <v>90</v>
      </c>
      <c r="BH20" s="1">
        <f t="shared" si="8"/>
        <v>91.428571428571431</v>
      </c>
      <c r="BI20" s="1">
        <f t="shared" si="8"/>
        <v>92.857142857142861</v>
      </c>
      <c r="BJ20" s="1">
        <f t="shared" si="8"/>
        <v>94.285714285714292</v>
      </c>
      <c r="BK20" s="1">
        <f t="shared" si="8"/>
        <v>95.714285714285708</v>
      </c>
      <c r="BL20" s="1">
        <f t="shared" si="8"/>
        <v>97.142857142857139</v>
      </c>
      <c r="BM20" s="1">
        <f t="shared" si="8"/>
        <v>98.571428571428569</v>
      </c>
      <c r="BN20" s="1">
        <f t="shared" si="8"/>
        <v>100</v>
      </c>
      <c r="BO20" s="1">
        <f t="shared" si="8"/>
        <v>101.42857142857143</v>
      </c>
      <c r="BP20" s="1">
        <f t="shared" ref="E20:BP24" si="12">IF($V$3=0,0,($V$2*BP$16)/ ($C20 * $V$3))</f>
        <v>102.85714285714286</v>
      </c>
      <c r="BQ20" s="1">
        <f t="shared" si="9"/>
        <v>104.28571428571429</v>
      </c>
      <c r="BR20" s="1">
        <f t="shared" si="9"/>
        <v>105.71428571428571</v>
      </c>
      <c r="BS20" s="1">
        <f t="shared" si="9"/>
        <v>107.14285714285714</v>
      </c>
      <c r="BT20" s="1">
        <f t="shared" si="9"/>
        <v>108.57142857142857</v>
      </c>
      <c r="BU20" s="1">
        <f t="shared" si="9"/>
        <v>110</v>
      </c>
      <c r="BV20" s="1">
        <f t="shared" si="9"/>
        <v>111.42857142857143</v>
      </c>
      <c r="BW20" s="1">
        <f t="shared" si="9"/>
        <v>112.85714285714286</v>
      </c>
      <c r="BX20" s="1">
        <f t="shared" si="9"/>
        <v>114.28571428571429</v>
      </c>
      <c r="BY20" s="1">
        <f t="shared" si="9"/>
        <v>115.71428571428571</v>
      </c>
      <c r="BZ20" s="1">
        <f t="shared" si="9"/>
        <v>117.14285714285714</v>
      </c>
      <c r="CA20" s="1">
        <f t="shared" si="9"/>
        <v>118.57142857142857</v>
      </c>
      <c r="CB20" s="1">
        <f t="shared" si="9"/>
        <v>120</v>
      </c>
      <c r="CC20" s="1">
        <f t="shared" si="9"/>
        <v>121.42857142857143</v>
      </c>
      <c r="CD20" s="1">
        <f t="shared" si="9"/>
        <v>122.85714285714286</v>
      </c>
      <c r="CE20" s="1">
        <f t="shared" si="9"/>
        <v>124.28571428571429</v>
      </c>
      <c r="CF20" s="1">
        <f t="shared" si="9"/>
        <v>125.71428571428571</v>
      </c>
      <c r="CG20" s="1">
        <f t="shared" si="9"/>
        <v>127.14285714285714</v>
      </c>
      <c r="CH20" s="1">
        <f t="shared" si="9"/>
        <v>128.57142857142858</v>
      </c>
      <c r="CI20" s="1">
        <f t="shared" si="9"/>
        <v>130</v>
      </c>
      <c r="CJ20" s="1">
        <f t="shared" si="9"/>
        <v>131.42857142857142</v>
      </c>
      <c r="CK20" s="1">
        <f t="shared" si="9"/>
        <v>132.85714285714286</v>
      </c>
      <c r="CL20" s="1">
        <f t="shared" si="9"/>
        <v>134.28571428571428</v>
      </c>
      <c r="CM20" s="1">
        <f t="shared" si="9"/>
        <v>135.71428571428572</v>
      </c>
      <c r="CN20" s="1">
        <f t="shared" si="9"/>
        <v>137.14285714285714</v>
      </c>
      <c r="CO20" s="1">
        <f t="shared" si="9"/>
        <v>138.57142857142858</v>
      </c>
      <c r="CP20" s="1">
        <f t="shared" si="9"/>
        <v>140</v>
      </c>
      <c r="CQ20" s="1">
        <f t="shared" si="9"/>
        <v>141.42857142857142</v>
      </c>
      <c r="CR20" s="1">
        <f t="shared" si="9"/>
        <v>142.85714285714286</v>
      </c>
      <c r="CS20" s="1">
        <f t="shared" si="9"/>
        <v>144.28571428571428</v>
      </c>
      <c r="CT20" s="1">
        <f t="shared" si="9"/>
        <v>145.71428571428572</v>
      </c>
      <c r="CU20" s="1">
        <f t="shared" si="9"/>
        <v>147.14285714285714</v>
      </c>
      <c r="CV20" s="1">
        <f t="shared" si="9"/>
        <v>148.57142857142858</v>
      </c>
      <c r="CW20" s="1">
        <f t="shared" si="9"/>
        <v>150</v>
      </c>
      <c r="CX20" s="1">
        <f t="shared" si="9"/>
        <v>151.42857142857142</v>
      </c>
      <c r="CY20" s="1">
        <f t="shared" si="9"/>
        <v>152.85714285714286</v>
      </c>
      <c r="CZ20" s="1">
        <f t="shared" si="9"/>
        <v>154.28571428571428</v>
      </c>
      <c r="DA20" s="1">
        <f t="shared" si="9"/>
        <v>155.71428571428572</v>
      </c>
      <c r="DB20" s="1">
        <f t="shared" si="9"/>
        <v>157.14285714285714</v>
      </c>
      <c r="DC20" s="1">
        <f t="shared" si="9"/>
        <v>158.57142857142858</v>
      </c>
      <c r="DD20" s="1">
        <f t="shared" si="9"/>
        <v>160</v>
      </c>
      <c r="DE20" s="1">
        <f t="shared" si="9"/>
        <v>161.42857142857142</v>
      </c>
      <c r="DF20" s="1">
        <f t="shared" si="9"/>
        <v>162.85714285714286</v>
      </c>
      <c r="DG20" s="1">
        <f t="shared" si="9"/>
        <v>164.28571428571428</v>
      </c>
      <c r="DH20" s="1">
        <f t="shared" si="9"/>
        <v>165.71428571428572</v>
      </c>
      <c r="DI20" s="1">
        <f t="shared" si="9"/>
        <v>167.14285714285714</v>
      </c>
      <c r="DJ20" s="1">
        <f t="shared" si="9"/>
        <v>168.57142857142858</v>
      </c>
      <c r="DK20" s="1">
        <f t="shared" si="9"/>
        <v>170</v>
      </c>
      <c r="DL20" s="1">
        <f t="shared" si="9"/>
        <v>171.42857142857142</v>
      </c>
      <c r="DM20" s="1">
        <f t="shared" si="9"/>
        <v>172.85714285714286</v>
      </c>
      <c r="DN20" s="1">
        <f t="shared" si="9"/>
        <v>174.28571428571428</v>
      </c>
      <c r="DO20" s="1">
        <f t="shared" si="9"/>
        <v>175.71428571428572</v>
      </c>
      <c r="DP20" s="1">
        <f t="shared" si="9"/>
        <v>177.14285714285714</v>
      </c>
      <c r="DQ20" s="1">
        <f t="shared" si="9"/>
        <v>178.57142857142858</v>
      </c>
      <c r="DR20" s="1">
        <f t="shared" si="9"/>
        <v>180</v>
      </c>
      <c r="DS20" s="1">
        <f t="shared" si="9"/>
        <v>181.42857142857142</v>
      </c>
    </row>
    <row r="21" spans="1:123" x14ac:dyDescent="0.3">
      <c r="A21" s="94"/>
      <c r="B21" s="13" t="str">
        <f t="shared" si="7"/>
        <v>0x08</v>
      </c>
      <c r="C21" s="17">
        <f t="shared" si="10"/>
        <v>8</v>
      </c>
      <c r="D21" s="1">
        <f t="shared" si="11"/>
        <v>10</v>
      </c>
      <c r="E21" s="1">
        <f t="shared" si="12"/>
        <v>11.25</v>
      </c>
      <c r="F21" s="1">
        <f t="shared" si="12"/>
        <v>12.5</v>
      </c>
      <c r="G21" s="1">
        <f t="shared" si="12"/>
        <v>13.75</v>
      </c>
      <c r="H21" s="1">
        <f t="shared" si="12"/>
        <v>15</v>
      </c>
      <c r="I21" s="1">
        <f t="shared" si="12"/>
        <v>16.25</v>
      </c>
      <c r="J21" s="1">
        <f t="shared" si="12"/>
        <v>17.5</v>
      </c>
      <c r="K21" s="1">
        <f t="shared" si="12"/>
        <v>18.75</v>
      </c>
      <c r="L21" s="1">
        <f t="shared" si="12"/>
        <v>20</v>
      </c>
      <c r="M21" s="1">
        <f t="shared" si="12"/>
        <v>21.25</v>
      </c>
      <c r="N21" s="1">
        <f t="shared" si="12"/>
        <v>22.5</v>
      </c>
      <c r="O21" s="1">
        <f t="shared" si="12"/>
        <v>23.75</v>
      </c>
      <c r="P21" s="1">
        <f t="shared" si="12"/>
        <v>25</v>
      </c>
      <c r="Q21" s="1">
        <f t="shared" si="12"/>
        <v>26.25</v>
      </c>
      <c r="R21" s="1">
        <f t="shared" si="12"/>
        <v>27.5</v>
      </c>
      <c r="S21" s="1">
        <f t="shared" si="12"/>
        <v>28.75</v>
      </c>
      <c r="T21" s="1">
        <f t="shared" si="12"/>
        <v>30</v>
      </c>
      <c r="U21" s="1">
        <f t="shared" si="12"/>
        <v>31.25</v>
      </c>
      <c r="V21" s="1">
        <f t="shared" si="12"/>
        <v>32.5</v>
      </c>
      <c r="W21" s="1">
        <f t="shared" si="12"/>
        <v>33.75</v>
      </c>
      <c r="X21" s="1">
        <f t="shared" si="12"/>
        <v>35</v>
      </c>
      <c r="Y21" s="1">
        <f t="shared" si="12"/>
        <v>36.25</v>
      </c>
      <c r="Z21" s="1">
        <f t="shared" si="12"/>
        <v>37.5</v>
      </c>
      <c r="AA21" s="1">
        <f t="shared" si="12"/>
        <v>38.75</v>
      </c>
      <c r="AB21" s="1">
        <f t="shared" si="12"/>
        <v>40</v>
      </c>
      <c r="AC21" s="1">
        <f t="shared" si="12"/>
        <v>41.25</v>
      </c>
      <c r="AD21" s="1">
        <f t="shared" si="12"/>
        <v>42.5</v>
      </c>
      <c r="AE21" s="1">
        <f t="shared" si="12"/>
        <v>43.75</v>
      </c>
      <c r="AF21" s="1">
        <f t="shared" si="12"/>
        <v>45</v>
      </c>
      <c r="AG21" s="1">
        <f t="shared" si="12"/>
        <v>46.25</v>
      </c>
      <c r="AH21" s="1">
        <f t="shared" si="12"/>
        <v>47.5</v>
      </c>
      <c r="AI21" s="1">
        <f t="shared" si="12"/>
        <v>48.75</v>
      </c>
      <c r="AJ21" s="1">
        <f t="shared" si="12"/>
        <v>50</v>
      </c>
      <c r="AK21" s="1">
        <f t="shared" si="12"/>
        <v>51.25</v>
      </c>
      <c r="AL21" s="1">
        <f t="shared" si="12"/>
        <v>52.5</v>
      </c>
      <c r="AM21" s="1">
        <f t="shared" si="12"/>
        <v>53.75</v>
      </c>
      <c r="AN21" s="1">
        <f t="shared" si="12"/>
        <v>55</v>
      </c>
      <c r="AO21" s="1">
        <f t="shared" si="12"/>
        <v>56.25</v>
      </c>
      <c r="AP21" s="1">
        <f t="shared" si="12"/>
        <v>57.5</v>
      </c>
      <c r="AQ21" s="1">
        <f t="shared" si="12"/>
        <v>58.75</v>
      </c>
      <c r="AR21" s="1">
        <f t="shared" si="12"/>
        <v>60</v>
      </c>
      <c r="AS21" s="1">
        <f t="shared" si="12"/>
        <v>61.25</v>
      </c>
      <c r="AT21" s="1">
        <f t="shared" si="12"/>
        <v>62.5</v>
      </c>
      <c r="AU21" s="1">
        <f t="shared" si="12"/>
        <v>63.75</v>
      </c>
      <c r="AV21" s="1">
        <f t="shared" si="12"/>
        <v>65</v>
      </c>
      <c r="AW21" s="1">
        <f t="shared" si="12"/>
        <v>66.25</v>
      </c>
      <c r="AX21" s="1">
        <f t="shared" si="12"/>
        <v>67.5</v>
      </c>
      <c r="AY21" s="1">
        <f t="shared" si="12"/>
        <v>68.75</v>
      </c>
      <c r="AZ21" s="1">
        <f t="shared" si="12"/>
        <v>70</v>
      </c>
      <c r="BA21" s="1">
        <f t="shared" si="12"/>
        <v>71.25</v>
      </c>
      <c r="BB21" s="1">
        <f t="shared" si="12"/>
        <v>72.5</v>
      </c>
      <c r="BC21" s="1">
        <f t="shared" si="12"/>
        <v>73.75</v>
      </c>
      <c r="BD21" s="1">
        <f t="shared" si="12"/>
        <v>75</v>
      </c>
      <c r="BE21" s="1">
        <f t="shared" si="12"/>
        <v>76.25</v>
      </c>
      <c r="BF21" s="1">
        <f t="shared" si="12"/>
        <v>77.5</v>
      </c>
      <c r="BG21" s="1">
        <f t="shared" si="12"/>
        <v>78.75</v>
      </c>
      <c r="BH21" s="1">
        <f t="shared" si="12"/>
        <v>80</v>
      </c>
      <c r="BI21" s="1">
        <f t="shared" si="12"/>
        <v>81.25</v>
      </c>
      <c r="BJ21" s="1">
        <f t="shared" si="12"/>
        <v>82.5</v>
      </c>
      <c r="BK21" s="1">
        <f t="shared" si="12"/>
        <v>83.75</v>
      </c>
      <c r="BL21" s="1">
        <f t="shared" si="12"/>
        <v>85</v>
      </c>
      <c r="BM21" s="1">
        <f t="shared" si="12"/>
        <v>86.25</v>
      </c>
      <c r="BN21" s="1">
        <f t="shared" si="12"/>
        <v>87.5</v>
      </c>
      <c r="BO21" s="1">
        <f t="shared" si="12"/>
        <v>88.75</v>
      </c>
      <c r="BP21" s="1">
        <f t="shared" si="12"/>
        <v>90</v>
      </c>
      <c r="BQ21" s="1">
        <f t="shared" si="9"/>
        <v>91.25</v>
      </c>
      <c r="BR21" s="1">
        <f t="shared" si="9"/>
        <v>92.5</v>
      </c>
      <c r="BS21" s="1">
        <f t="shared" si="9"/>
        <v>93.75</v>
      </c>
      <c r="BT21" s="1">
        <f t="shared" si="9"/>
        <v>95</v>
      </c>
      <c r="BU21" s="1">
        <f t="shared" si="9"/>
        <v>96.25</v>
      </c>
      <c r="BV21" s="1">
        <f t="shared" si="9"/>
        <v>97.5</v>
      </c>
      <c r="BW21" s="1">
        <f t="shared" si="9"/>
        <v>98.75</v>
      </c>
      <c r="BX21" s="1">
        <f t="shared" si="9"/>
        <v>100</v>
      </c>
      <c r="BY21" s="1">
        <f t="shared" si="9"/>
        <v>101.25</v>
      </c>
      <c r="BZ21" s="1">
        <f t="shared" si="9"/>
        <v>102.5</v>
      </c>
      <c r="CA21" s="1">
        <f t="shared" si="9"/>
        <v>103.75</v>
      </c>
      <c r="CB21" s="1">
        <f t="shared" si="9"/>
        <v>105</v>
      </c>
      <c r="CC21" s="1">
        <f t="shared" si="9"/>
        <v>106.25</v>
      </c>
      <c r="CD21" s="1">
        <f t="shared" si="9"/>
        <v>107.5</v>
      </c>
      <c r="CE21" s="1">
        <f t="shared" si="9"/>
        <v>108.75</v>
      </c>
      <c r="CF21" s="1">
        <f t="shared" si="9"/>
        <v>110</v>
      </c>
      <c r="CG21" s="1">
        <f t="shared" si="9"/>
        <v>111.25</v>
      </c>
      <c r="CH21" s="1">
        <f t="shared" si="9"/>
        <v>112.5</v>
      </c>
      <c r="CI21" s="1">
        <f t="shared" si="9"/>
        <v>113.75</v>
      </c>
      <c r="CJ21" s="1">
        <f t="shared" si="9"/>
        <v>115</v>
      </c>
      <c r="CK21" s="1">
        <f t="shared" si="9"/>
        <v>116.25</v>
      </c>
      <c r="CL21" s="1">
        <f t="shared" si="9"/>
        <v>117.5</v>
      </c>
      <c r="CM21" s="1">
        <f t="shared" si="9"/>
        <v>118.75</v>
      </c>
      <c r="CN21" s="1">
        <f t="shared" si="9"/>
        <v>120</v>
      </c>
      <c r="CO21" s="1">
        <f t="shared" si="9"/>
        <v>121.25</v>
      </c>
      <c r="CP21" s="1">
        <f t="shared" si="9"/>
        <v>122.5</v>
      </c>
      <c r="CQ21" s="1">
        <f t="shared" si="9"/>
        <v>123.75</v>
      </c>
      <c r="CR21" s="1">
        <f t="shared" si="9"/>
        <v>125</v>
      </c>
      <c r="CS21" s="1">
        <f t="shared" si="9"/>
        <v>126.25</v>
      </c>
      <c r="CT21" s="1">
        <f t="shared" si="9"/>
        <v>127.5</v>
      </c>
      <c r="CU21" s="1">
        <f t="shared" si="9"/>
        <v>128.75</v>
      </c>
      <c r="CV21" s="1">
        <f t="shared" si="9"/>
        <v>130</v>
      </c>
      <c r="CW21" s="1">
        <f t="shared" si="9"/>
        <v>131.25</v>
      </c>
      <c r="CX21" s="1">
        <f t="shared" si="9"/>
        <v>132.5</v>
      </c>
      <c r="CY21" s="1">
        <f t="shared" si="9"/>
        <v>133.75</v>
      </c>
      <c r="CZ21" s="1">
        <f t="shared" ref="CZ21:DO28" si="13">IF($V$3=0,0,($V$2*CZ$16)/ ($C21 * $V$3))</f>
        <v>135</v>
      </c>
      <c r="DA21" s="1">
        <f t="shared" si="13"/>
        <v>136.25</v>
      </c>
      <c r="DB21" s="1">
        <f t="shared" si="13"/>
        <v>137.5</v>
      </c>
      <c r="DC21" s="1">
        <f t="shared" si="13"/>
        <v>138.75</v>
      </c>
      <c r="DD21" s="1">
        <f t="shared" si="13"/>
        <v>140</v>
      </c>
      <c r="DE21" s="1">
        <f t="shared" si="13"/>
        <v>141.25</v>
      </c>
      <c r="DF21" s="1">
        <f t="shared" si="13"/>
        <v>142.5</v>
      </c>
      <c r="DG21" s="1">
        <f t="shared" si="13"/>
        <v>143.75</v>
      </c>
      <c r="DH21" s="1">
        <f t="shared" si="13"/>
        <v>145</v>
      </c>
      <c r="DI21" s="1">
        <f t="shared" si="13"/>
        <v>146.25</v>
      </c>
      <c r="DJ21" s="1">
        <f t="shared" si="13"/>
        <v>147.5</v>
      </c>
      <c r="DK21" s="1">
        <f t="shared" si="13"/>
        <v>148.75</v>
      </c>
      <c r="DL21" s="1">
        <f t="shared" si="13"/>
        <v>150</v>
      </c>
      <c r="DM21" s="1">
        <f t="shared" si="13"/>
        <v>151.25</v>
      </c>
      <c r="DN21" s="1">
        <f t="shared" si="13"/>
        <v>152.5</v>
      </c>
      <c r="DO21" s="1">
        <f t="shared" si="13"/>
        <v>153.75</v>
      </c>
      <c r="DP21" s="1">
        <f t="shared" ref="DP21:DS28" si="14">IF($V$3=0,0,($V$2*DP$16)/ ($C21 * $V$3))</f>
        <v>155</v>
      </c>
      <c r="DQ21" s="1">
        <f t="shared" si="14"/>
        <v>156.25</v>
      </c>
      <c r="DR21" s="1">
        <f t="shared" si="14"/>
        <v>157.5</v>
      </c>
      <c r="DS21" s="1">
        <f t="shared" si="14"/>
        <v>158.75</v>
      </c>
    </row>
    <row r="22" spans="1:123" x14ac:dyDescent="0.3">
      <c r="A22" s="94"/>
      <c r="B22" s="13" t="str">
        <f t="shared" si="7"/>
        <v>0x09</v>
      </c>
      <c r="C22" s="17">
        <f t="shared" si="10"/>
        <v>9</v>
      </c>
      <c r="D22" s="1">
        <f t="shared" si="11"/>
        <v>8.8888888888888893</v>
      </c>
      <c r="E22" s="1">
        <f t="shared" si="12"/>
        <v>10</v>
      </c>
      <c r="F22" s="1">
        <f t="shared" si="12"/>
        <v>11.111111111111111</v>
      </c>
      <c r="G22" s="1">
        <f t="shared" si="12"/>
        <v>12.222222222222221</v>
      </c>
      <c r="H22" s="1">
        <f t="shared" si="12"/>
        <v>13.333333333333334</v>
      </c>
      <c r="I22" s="1">
        <f t="shared" si="12"/>
        <v>14.444444444444445</v>
      </c>
      <c r="J22" s="1">
        <f t="shared" si="12"/>
        <v>15.555555555555555</v>
      </c>
      <c r="K22" s="1">
        <f t="shared" si="12"/>
        <v>16.666666666666668</v>
      </c>
      <c r="L22" s="1">
        <f t="shared" si="12"/>
        <v>17.777777777777779</v>
      </c>
      <c r="M22" s="1">
        <f t="shared" si="12"/>
        <v>18.888888888888889</v>
      </c>
      <c r="N22" s="1">
        <f t="shared" si="12"/>
        <v>20</v>
      </c>
      <c r="O22" s="1">
        <f t="shared" si="12"/>
        <v>21.111111111111111</v>
      </c>
      <c r="P22" s="1">
        <f t="shared" si="12"/>
        <v>22.222222222222221</v>
      </c>
      <c r="Q22" s="1">
        <f t="shared" si="12"/>
        <v>23.333333333333332</v>
      </c>
      <c r="R22" s="1">
        <f t="shared" si="12"/>
        <v>24.444444444444443</v>
      </c>
      <c r="S22" s="1">
        <f t="shared" si="12"/>
        <v>25.555555555555557</v>
      </c>
      <c r="T22" s="1">
        <f t="shared" si="12"/>
        <v>26.666666666666668</v>
      </c>
      <c r="U22" s="1">
        <f t="shared" si="12"/>
        <v>27.777777777777779</v>
      </c>
      <c r="V22" s="1">
        <f t="shared" si="12"/>
        <v>28.888888888888889</v>
      </c>
      <c r="W22" s="1">
        <f t="shared" si="12"/>
        <v>30</v>
      </c>
      <c r="X22" s="1">
        <f t="shared" si="12"/>
        <v>31.111111111111111</v>
      </c>
      <c r="Y22" s="1">
        <f t="shared" si="12"/>
        <v>32.222222222222221</v>
      </c>
      <c r="Z22" s="1">
        <f t="shared" si="12"/>
        <v>33.333333333333336</v>
      </c>
      <c r="AA22" s="1">
        <f t="shared" si="12"/>
        <v>34.444444444444443</v>
      </c>
      <c r="AB22" s="1">
        <f t="shared" si="12"/>
        <v>35.555555555555557</v>
      </c>
      <c r="AC22" s="1">
        <f t="shared" si="12"/>
        <v>36.666666666666664</v>
      </c>
      <c r="AD22" s="1">
        <f t="shared" si="12"/>
        <v>37.777777777777779</v>
      </c>
      <c r="AE22" s="1">
        <f t="shared" si="12"/>
        <v>38.888888888888886</v>
      </c>
      <c r="AF22" s="1">
        <f t="shared" si="12"/>
        <v>40</v>
      </c>
      <c r="AG22" s="1">
        <f t="shared" si="12"/>
        <v>41.111111111111114</v>
      </c>
      <c r="AH22" s="1">
        <f t="shared" si="12"/>
        <v>42.222222222222221</v>
      </c>
      <c r="AI22" s="1">
        <f t="shared" si="12"/>
        <v>43.333333333333336</v>
      </c>
      <c r="AJ22" s="1">
        <f t="shared" si="12"/>
        <v>44.444444444444443</v>
      </c>
      <c r="AK22" s="1">
        <f t="shared" si="12"/>
        <v>45.555555555555557</v>
      </c>
      <c r="AL22" s="1">
        <f t="shared" si="12"/>
        <v>46.666666666666664</v>
      </c>
      <c r="AM22" s="1">
        <f t="shared" si="12"/>
        <v>47.777777777777779</v>
      </c>
      <c r="AN22" s="1">
        <f t="shared" si="12"/>
        <v>48.888888888888886</v>
      </c>
      <c r="AO22" s="1">
        <f t="shared" si="12"/>
        <v>50</v>
      </c>
      <c r="AP22" s="1">
        <f t="shared" si="12"/>
        <v>51.111111111111114</v>
      </c>
      <c r="AQ22" s="1">
        <f t="shared" si="12"/>
        <v>52.222222222222221</v>
      </c>
      <c r="AR22" s="1">
        <f t="shared" si="12"/>
        <v>53.333333333333336</v>
      </c>
      <c r="AS22" s="1">
        <f t="shared" si="12"/>
        <v>54.444444444444443</v>
      </c>
      <c r="AT22" s="1">
        <f t="shared" si="12"/>
        <v>55.555555555555557</v>
      </c>
      <c r="AU22" s="1">
        <f t="shared" si="12"/>
        <v>56.666666666666664</v>
      </c>
      <c r="AV22" s="1">
        <f t="shared" si="12"/>
        <v>57.777777777777779</v>
      </c>
      <c r="AW22" s="1">
        <f t="shared" si="12"/>
        <v>58.888888888888886</v>
      </c>
      <c r="AX22" s="1">
        <f t="shared" si="12"/>
        <v>60</v>
      </c>
      <c r="AY22" s="1">
        <f t="shared" si="12"/>
        <v>61.111111111111114</v>
      </c>
      <c r="AZ22" s="1">
        <f t="shared" si="12"/>
        <v>62.222222222222221</v>
      </c>
      <c r="BA22" s="1">
        <f t="shared" si="12"/>
        <v>63.333333333333336</v>
      </c>
      <c r="BB22" s="1">
        <f t="shared" si="12"/>
        <v>64.444444444444443</v>
      </c>
      <c r="BC22" s="1">
        <f t="shared" si="12"/>
        <v>65.555555555555557</v>
      </c>
      <c r="BD22" s="1">
        <f t="shared" si="12"/>
        <v>66.666666666666671</v>
      </c>
      <c r="BE22" s="1">
        <f t="shared" si="12"/>
        <v>67.777777777777771</v>
      </c>
      <c r="BF22" s="1">
        <f t="shared" si="12"/>
        <v>68.888888888888886</v>
      </c>
      <c r="BG22" s="1">
        <f t="shared" si="12"/>
        <v>70</v>
      </c>
      <c r="BH22" s="1">
        <f t="shared" si="12"/>
        <v>71.111111111111114</v>
      </c>
      <c r="BI22" s="1">
        <f t="shared" si="12"/>
        <v>72.222222222222229</v>
      </c>
      <c r="BJ22" s="1">
        <f t="shared" si="12"/>
        <v>73.333333333333329</v>
      </c>
      <c r="BK22" s="1">
        <f t="shared" si="12"/>
        <v>74.444444444444443</v>
      </c>
      <c r="BL22" s="1">
        <f t="shared" si="12"/>
        <v>75.555555555555557</v>
      </c>
      <c r="BM22" s="1">
        <f t="shared" si="12"/>
        <v>76.666666666666671</v>
      </c>
      <c r="BN22" s="1">
        <f t="shared" si="12"/>
        <v>77.777777777777771</v>
      </c>
      <c r="BO22" s="1">
        <f t="shared" si="12"/>
        <v>78.888888888888886</v>
      </c>
      <c r="BP22" s="1">
        <f t="shared" si="12"/>
        <v>80</v>
      </c>
      <c r="BQ22" s="1">
        <f t="shared" ref="BQ22:CF28" si="15">IF($V$3=0,0,($V$2*BQ$16)/ ($C22 * $V$3))</f>
        <v>81.111111111111114</v>
      </c>
      <c r="BR22" s="1">
        <f t="shared" si="15"/>
        <v>82.222222222222229</v>
      </c>
      <c r="BS22" s="1">
        <f t="shared" si="15"/>
        <v>83.333333333333329</v>
      </c>
      <c r="BT22" s="1">
        <f t="shared" si="15"/>
        <v>84.444444444444443</v>
      </c>
      <c r="BU22" s="1">
        <f t="shared" si="15"/>
        <v>85.555555555555557</v>
      </c>
      <c r="BV22" s="1">
        <f t="shared" si="15"/>
        <v>86.666666666666671</v>
      </c>
      <c r="BW22" s="1">
        <f t="shared" si="15"/>
        <v>87.777777777777771</v>
      </c>
      <c r="BX22" s="1">
        <f t="shared" si="15"/>
        <v>88.888888888888886</v>
      </c>
      <c r="BY22" s="1">
        <f t="shared" si="15"/>
        <v>90</v>
      </c>
      <c r="BZ22" s="1">
        <f t="shared" si="15"/>
        <v>91.111111111111114</v>
      </c>
      <c r="CA22" s="1">
        <f t="shared" si="15"/>
        <v>92.222222222222229</v>
      </c>
      <c r="CB22" s="1">
        <f t="shared" si="15"/>
        <v>93.333333333333329</v>
      </c>
      <c r="CC22" s="1">
        <f t="shared" si="15"/>
        <v>94.444444444444443</v>
      </c>
      <c r="CD22" s="1">
        <f t="shared" si="15"/>
        <v>95.555555555555557</v>
      </c>
      <c r="CE22" s="1">
        <f t="shared" si="15"/>
        <v>96.666666666666671</v>
      </c>
      <c r="CF22" s="1">
        <f t="shared" si="15"/>
        <v>97.777777777777771</v>
      </c>
      <c r="CG22" s="1">
        <f t="shared" ref="CG22:CV28" si="16">IF($V$3=0,0,($V$2*CG$16)/ ($C22 * $V$3))</f>
        <v>98.888888888888886</v>
      </c>
      <c r="CH22" s="1">
        <f t="shared" si="16"/>
        <v>100</v>
      </c>
      <c r="CI22" s="1">
        <f t="shared" si="16"/>
        <v>101.11111111111111</v>
      </c>
      <c r="CJ22" s="1">
        <f t="shared" si="16"/>
        <v>102.22222222222223</v>
      </c>
      <c r="CK22" s="1">
        <f t="shared" si="16"/>
        <v>103.33333333333333</v>
      </c>
      <c r="CL22" s="1">
        <f t="shared" si="16"/>
        <v>104.44444444444444</v>
      </c>
      <c r="CM22" s="1">
        <f t="shared" si="16"/>
        <v>105.55555555555556</v>
      </c>
      <c r="CN22" s="1">
        <f t="shared" si="16"/>
        <v>106.66666666666667</v>
      </c>
      <c r="CO22" s="1">
        <f t="shared" si="16"/>
        <v>107.77777777777777</v>
      </c>
      <c r="CP22" s="1">
        <f t="shared" si="16"/>
        <v>108.88888888888889</v>
      </c>
      <c r="CQ22" s="1">
        <f t="shared" si="16"/>
        <v>110</v>
      </c>
      <c r="CR22" s="1">
        <f t="shared" si="16"/>
        <v>111.11111111111111</v>
      </c>
      <c r="CS22" s="1">
        <f t="shared" si="16"/>
        <v>112.22222222222223</v>
      </c>
      <c r="CT22" s="1">
        <f t="shared" si="16"/>
        <v>113.33333333333333</v>
      </c>
      <c r="CU22" s="1">
        <f t="shared" si="16"/>
        <v>114.44444444444444</v>
      </c>
      <c r="CV22" s="1">
        <f t="shared" si="16"/>
        <v>115.55555555555556</v>
      </c>
      <c r="CW22" s="1">
        <f t="shared" ref="CW22:DL28" si="17">IF($V$3=0,0,($V$2*CW$16)/ ($C22 * $V$3))</f>
        <v>116.66666666666667</v>
      </c>
      <c r="CX22" s="1">
        <f t="shared" si="17"/>
        <v>117.77777777777777</v>
      </c>
      <c r="CY22" s="1">
        <f t="shared" si="17"/>
        <v>118.88888888888889</v>
      </c>
      <c r="CZ22" s="1">
        <f t="shared" si="17"/>
        <v>120</v>
      </c>
      <c r="DA22" s="1">
        <f t="shared" si="17"/>
        <v>121.11111111111111</v>
      </c>
      <c r="DB22" s="1">
        <f t="shared" si="17"/>
        <v>122.22222222222223</v>
      </c>
      <c r="DC22" s="1">
        <f t="shared" si="17"/>
        <v>123.33333333333333</v>
      </c>
      <c r="DD22" s="1">
        <f t="shared" si="17"/>
        <v>124.44444444444444</v>
      </c>
      <c r="DE22" s="1">
        <f t="shared" si="17"/>
        <v>125.55555555555556</v>
      </c>
      <c r="DF22" s="1">
        <f t="shared" si="17"/>
        <v>126.66666666666667</v>
      </c>
      <c r="DG22" s="1">
        <f t="shared" si="17"/>
        <v>127.77777777777777</v>
      </c>
      <c r="DH22" s="1">
        <f t="shared" si="17"/>
        <v>128.88888888888889</v>
      </c>
      <c r="DI22" s="1">
        <f t="shared" si="17"/>
        <v>130</v>
      </c>
      <c r="DJ22" s="1">
        <f t="shared" si="17"/>
        <v>131.11111111111111</v>
      </c>
      <c r="DK22" s="1">
        <f t="shared" si="17"/>
        <v>132.22222222222223</v>
      </c>
      <c r="DL22" s="1">
        <f t="shared" si="17"/>
        <v>133.33333333333334</v>
      </c>
      <c r="DM22" s="1">
        <f t="shared" si="13"/>
        <v>134.44444444444446</v>
      </c>
      <c r="DN22" s="1">
        <f t="shared" si="13"/>
        <v>135.55555555555554</v>
      </c>
      <c r="DO22" s="1">
        <f t="shared" si="13"/>
        <v>136.66666666666666</v>
      </c>
      <c r="DP22" s="1">
        <f t="shared" si="14"/>
        <v>137.77777777777777</v>
      </c>
      <c r="DQ22" s="1">
        <f t="shared" si="14"/>
        <v>138.88888888888889</v>
      </c>
      <c r="DR22" s="1">
        <f t="shared" si="14"/>
        <v>140</v>
      </c>
      <c r="DS22" s="1">
        <f t="shared" si="14"/>
        <v>141.11111111111111</v>
      </c>
    </row>
    <row r="23" spans="1:123" x14ac:dyDescent="0.3">
      <c r="A23" s="94"/>
      <c r="B23" s="13" t="str">
        <f t="shared" si="7"/>
        <v>0x0A</v>
      </c>
      <c r="C23" s="17">
        <f t="shared" si="10"/>
        <v>10</v>
      </c>
      <c r="D23" s="1">
        <f t="shared" si="11"/>
        <v>8</v>
      </c>
      <c r="E23" s="1">
        <f t="shared" si="12"/>
        <v>9</v>
      </c>
      <c r="F23" s="1">
        <f t="shared" si="12"/>
        <v>10</v>
      </c>
      <c r="G23" s="1">
        <f t="shared" si="12"/>
        <v>11</v>
      </c>
      <c r="H23" s="1">
        <f t="shared" si="12"/>
        <v>12</v>
      </c>
      <c r="I23" s="1">
        <f t="shared" si="12"/>
        <v>13</v>
      </c>
      <c r="J23" s="1">
        <f t="shared" si="12"/>
        <v>14</v>
      </c>
      <c r="K23" s="1">
        <f t="shared" si="12"/>
        <v>15</v>
      </c>
      <c r="L23" s="1">
        <f t="shared" si="12"/>
        <v>16</v>
      </c>
      <c r="M23" s="1">
        <f t="shared" si="12"/>
        <v>17</v>
      </c>
      <c r="N23" s="1">
        <f t="shared" si="12"/>
        <v>18</v>
      </c>
      <c r="O23" s="1">
        <f t="shared" si="12"/>
        <v>19</v>
      </c>
      <c r="P23" s="1">
        <f t="shared" si="12"/>
        <v>20</v>
      </c>
      <c r="Q23" s="1">
        <f t="shared" si="12"/>
        <v>21</v>
      </c>
      <c r="R23" s="1">
        <f t="shared" si="12"/>
        <v>22</v>
      </c>
      <c r="S23" s="1">
        <f t="shared" si="12"/>
        <v>23</v>
      </c>
      <c r="T23" s="1">
        <f t="shared" si="12"/>
        <v>24</v>
      </c>
      <c r="U23" s="1">
        <f t="shared" si="12"/>
        <v>25</v>
      </c>
      <c r="V23" s="1">
        <f t="shared" si="12"/>
        <v>26</v>
      </c>
      <c r="W23" s="1">
        <f t="shared" si="12"/>
        <v>27</v>
      </c>
      <c r="X23" s="1">
        <f t="shared" si="12"/>
        <v>28</v>
      </c>
      <c r="Y23" s="1">
        <f t="shared" si="12"/>
        <v>29</v>
      </c>
      <c r="Z23" s="1">
        <f t="shared" si="12"/>
        <v>30</v>
      </c>
      <c r="AA23" s="1">
        <f t="shared" si="12"/>
        <v>31</v>
      </c>
      <c r="AB23" s="1">
        <f t="shared" si="12"/>
        <v>32</v>
      </c>
      <c r="AC23" s="1">
        <f t="shared" si="12"/>
        <v>33</v>
      </c>
      <c r="AD23" s="1">
        <f t="shared" si="12"/>
        <v>34</v>
      </c>
      <c r="AE23" s="1">
        <f t="shared" si="12"/>
        <v>35</v>
      </c>
      <c r="AF23" s="1">
        <f t="shared" si="12"/>
        <v>36</v>
      </c>
      <c r="AG23" s="1">
        <f t="shared" si="12"/>
        <v>37</v>
      </c>
      <c r="AH23" s="1">
        <f t="shared" si="12"/>
        <v>38</v>
      </c>
      <c r="AI23" s="1">
        <f t="shared" si="12"/>
        <v>39</v>
      </c>
      <c r="AJ23" s="1">
        <f t="shared" si="12"/>
        <v>40</v>
      </c>
      <c r="AK23" s="1">
        <f t="shared" si="12"/>
        <v>41</v>
      </c>
      <c r="AL23" s="1">
        <f t="shared" si="12"/>
        <v>42</v>
      </c>
      <c r="AM23" s="1">
        <f t="shared" si="12"/>
        <v>43</v>
      </c>
      <c r="AN23" s="1">
        <f t="shared" si="12"/>
        <v>44</v>
      </c>
      <c r="AO23" s="1">
        <f t="shared" si="12"/>
        <v>45</v>
      </c>
      <c r="AP23" s="1">
        <f t="shared" si="12"/>
        <v>46</v>
      </c>
      <c r="AQ23" s="1">
        <f t="shared" si="12"/>
        <v>47</v>
      </c>
      <c r="AR23" s="1">
        <f t="shared" si="12"/>
        <v>48</v>
      </c>
      <c r="AS23" s="1">
        <f t="shared" si="12"/>
        <v>49</v>
      </c>
      <c r="AT23" s="1">
        <f t="shared" si="12"/>
        <v>50</v>
      </c>
      <c r="AU23" s="1">
        <f t="shared" si="12"/>
        <v>51</v>
      </c>
      <c r="AV23" s="1">
        <f t="shared" si="12"/>
        <v>52</v>
      </c>
      <c r="AW23" s="1">
        <f t="shared" si="12"/>
        <v>53</v>
      </c>
      <c r="AX23" s="1">
        <f t="shared" si="12"/>
        <v>54</v>
      </c>
      <c r="AY23" s="1">
        <f t="shared" si="12"/>
        <v>55</v>
      </c>
      <c r="AZ23" s="1">
        <f t="shared" si="12"/>
        <v>56</v>
      </c>
      <c r="BA23" s="1">
        <f t="shared" si="12"/>
        <v>57</v>
      </c>
      <c r="BB23" s="1">
        <f t="shared" si="12"/>
        <v>58</v>
      </c>
      <c r="BC23" s="1">
        <f t="shared" si="12"/>
        <v>59</v>
      </c>
      <c r="BD23" s="1">
        <f t="shared" si="12"/>
        <v>60</v>
      </c>
      <c r="BE23" s="1">
        <f t="shared" si="12"/>
        <v>61</v>
      </c>
      <c r="BF23" s="1">
        <f t="shared" si="12"/>
        <v>62</v>
      </c>
      <c r="BG23" s="1">
        <f t="shared" si="12"/>
        <v>63</v>
      </c>
      <c r="BH23" s="1">
        <f t="shared" si="12"/>
        <v>64</v>
      </c>
      <c r="BI23" s="1">
        <f t="shared" si="12"/>
        <v>65</v>
      </c>
      <c r="BJ23" s="1">
        <f t="shared" si="12"/>
        <v>66</v>
      </c>
      <c r="BK23" s="1">
        <f t="shared" si="12"/>
        <v>67</v>
      </c>
      <c r="BL23" s="1">
        <f t="shared" si="12"/>
        <v>68</v>
      </c>
      <c r="BM23" s="1">
        <f t="shared" si="12"/>
        <v>69</v>
      </c>
      <c r="BN23" s="1">
        <f t="shared" si="12"/>
        <v>70</v>
      </c>
      <c r="BO23" s="1">
        <f t="shared" si="12"/>
        <v>71</v>
      </c>
      <c r="BP23" s="1">
        <f t="shared" si="12"/>
        <v>72</v>
      </c>
      <c r="BQ23" s="1">
        <f t="shared" si="15"/>
        <v>73</v>
      </c>
      <c r="BR23" s="1">
        <f t="shared" si="15"/>
        <v>74</v>
      </c>
      <c r="BS23" s="1">
        <f t="shared" si="15"/>
        <v>75</v>
      </c>
      <c r="BT23" s="1">
        <f t="shared" si="15"/>
        <v>76</v>
      </c>
      <c r="BU23" s="1">
        <f t="shared" si="15"/>
        <v>77</v>
      </c>
      <c r="BV23" s="1">
        <f t="shared" si="15"/>
        <v>78</v>
      </c>
      <c r="BW23" s="1">
        <f t="shared" si="15"/>
        <v>79</v>
      </c>
      <c r="BX23" s="1">
        <f t="shared" si="15"/>
        <v>80</v>
      </c>
      <c r="BY23" s="1">
        <f t="shared" si="15"/>
        <v>81</v>
      </c>
      <c r="BZ23" s="1">
        <f t="shared" si="15"/>
        <v>82</v>
      </c>
      <c r="CA23" s="1">
        <f t="shared" si="15"/>
        <v>83</v>
      </c>
      <c r="CB23" s="1">
        <f t="shared" si="15"/>
        <v>84</v>
      </c>
      <c r="CC23" s="1">
        <f t="shared" si="15"/>
        <v>85</v>
      </c>
      <c r="CD23" s="1">
        <f t="shared" si="15"/>
        <v>86</v>
      </c>
      <c r="CE23" s="1">
        <f t="shared" si="15"/>
        <v>87</v>
      </c>
      <c r="CF23" s="1">
        <f t="shared" si="15"/>
        <v>88</v>
      </c>
      <c r="CG23" s="1">
        <f t="shared" si="16"/>
        <v>89</v>
      </c>
      <c r="CH23" s="1">
        <f t="shared" si="16"/>
        <v>90</v>
      </c>
      <c r="CI23" s="1">
        <f t="shared" si="16"/>
        <v>91</v>
      </c>
      <c r="CJ23" s="1">
        <f t="shared" si="16"/>
        <v>92</v>
      </c>
      <c r="CK23" s="1">
        <f t="shared" si="16"/>
        <v>93</v>
      </c>
      <c r="CL23" s="1">
        <f t="shared" si="16"/>
        <v>94</v>
      </c>
      <c r="CM23" s="1">
        <f t="shared" si="16"/>
        <v>95</v>
      </c>
      <c r="CN23" s="1">
        <f t="shared" si="16"/>
        <v>96</v>
      </c>
      <c r="CO23" s="1">
        <f t="shared" si="16"/>
        <v>97</v>
      </c>
      <c r="CP23" s="1">
        <f t="shared" si="16"/>
        <v>98</v>
      </c>
      <c r="CQ23" s="1">
        <f t="shared" si="16"/>
        <v>99</v>
      </c>
      <c r="CR23" s="1">
        <f t="shared" si="16"/>
        <v>100</v>
      </c>
      <c r="CS23" s="1">
        <f t="shared" si="16"/>
        <v>101</v>
      </c>
      <c r="CT23" s="1">
        <f t="shared" si="16"/>
        <v>102</v>
      </c>
      <c r="CU23" s="1">
        <f t="shared" si="16"/>
        <v>103</v>
      </c>
      <c r="CV23" s="1">
        <f t="shared" si="16"/>
        <v>104</v>
      </c>
      <c r="CW23" s="1">
        <f t="shared" si="17"/>
        <v>105</v>
      </c>
      <c r="CX23" s="1">
        <f t="shared" si="17"/>
        <v>106</v>
      </c>
      <c r="CY23" s="1">
        <f t="shared" si="17"/>
        <v>107</v>
      </c>
      <c r="CZ23" s="1">
        <f t="shared" si="17"/>
        <v>108</v>
      </c>
      <c r="DA23" s="1">
        <f t="shared" si="17"/>
        <v>109</v>
      </c>
      <c r="DB23" s="1">
        <f t="shared" si="17"/>
        <v>110</v>
      </c>
      <c r="DC23" s="1">
        <f t="shared" si="17"/>
        <v>111</v>
      </c>
      <c r="DD23" s="1">
        <f t="shared" si="17"/>
        <v>112</v>
      </c>
      <c r="DE23" s="1">
        <f t="shared" si="17"/>
        <v>113</v>
      </c>
      <c r="DF23" s="1">
        <f t="shared" si="17"/>
        <v>114</v>
      </c>
      <c r="DG23" s="1">
        <f t="shared" si="17"/>
        <v>115</v>
      </c>
      <c r="DH23" s="1">
        <f t="shared" si="17"/>
        <v>116</v>
      </c>
      <c r="DI23" s="1">
        <f t="shared" si="17"/>
        <v>117</v>
      </c>
      <c r="DJ23" s="1">
        <f t="shared" si="17"/>
        <v>118</v>
      </c>
      <c r="DK23" s="1">
        <f t="shared" si="17"/>
        <v>119</v>
      </c>
      <c r="DL23" s="1">
        <f t="shared" si="17"/>
        <v>120</v>
      </c>
      <c r="DM23" s="1">
        <f t="shared" si="13"/>
        <v>121</v>
      </c>
      <c r="DN23" s="1">
        <f t="shared" si="13"/>
        <v>122</v>
      </c>
      <c r="DO23" s="1">
        <f t="shared" si="13"/>
        <v>123</v>
      </c>
      <c r="DP23" s="1">
        <f t="shared" si="14"/>
        <v>124</v>
      </c>
      <c r="DQ23" s="1">
        <f t="shared" si="14"/>
        <v>125</v>
      </c>
      <c r="DR23" s="1">
        <f t="shared" si="14"/>
        <v>126</v>
      </c>
      <c r="DS23" s="1">
        <f t="shared" si="14"/>
        <v>127</v>
      </c>
    </row>
    <row r="24" spans="1:123" x14ac:dyDescent="0.3">
      <c r="A24" s="94"/>
      <c r="B24" s="13" t="str">
        <f t="shared" si="7"/>
        <v>0x0B</v>
      </c>
      <c r="C24" s="17">
        <f t="shared" si="10"/>
        <v>11</v>
      </c>
      <c r="D24" s="1">
        <f t="shared" si="11"/>
        <v>7.2727272727272725</v>
      </c>
      <c r="E24" s="1">
        <f t="shared" si="12"/>
        <v>8.1818181818181817</v>
      </c>
      <c r="F24" s="1">
        <f t="shared" si="12"/>
        <v>9.0909090909090917</v>
      </c>
      <c r="G24" s="1">
        <f t="shared" si="12"/>
        <v>10</v>
      </c>
      <c r="H24" s="1">
        <f t="shared" si="12"/>
        <v>10.909090909090908</v>
      </c>
      <c r="I24" s="1">
        <f t="shared" si="12"/>
        <v>11.818181818181818</v>
      </c>
      <c r="J24" s="1">
        <f t="shared" si="12"/>
        <v>12.727272727272727</v>
      </c>
      <c r="K24" s="1">
        <f t="shared" si="12"/>
        <v>13.636363636363637</v>
      </c>
      <c r="L24" s="1">
        <f t="shared" si="12"/>
        <v>14.545454545454545</v>
      </c>
      <c r="M24" s="1">
        <f t="shared" si="12"/>
        <v>15.454545454545455</v>
      </c>
      <c r="N24" s="1">
        <f t="shared" si="12"/>
        <v>16.363636363636363</v>
      </c>
      <c r="O24" s="1">
        <f t="shared" si="12"/>
        <v>17.272727272727273</v>
      </c>
      <c r="P24" s="1">
        <f t="shared" si="12"/>
        <v>18.181818181818183</v>
      </c>
      <c r="Q24" s="1">
        <f t="shared" si="12"/>
        <v>19.09090909090909</v>
      </c>
      <c r="R24" s="1">
        <f t="shared" si="12"/>
        <v>20</v>
      </c>
      <c r="S24" s="1">
        <f t="shared" si="12"/>
        <v>20.90909090909091</v>
      </c>
      <c r="T24" s="1">
        <f t="shared" si="12"/>
        <v>21.818181818181817</v>
      </c>
      <c r="U24" s="1">
        <f t="shared" si="12"/>
        <v>22.727272727272727</v>
      </c>
      <c r="V24" s="1">
        <f t="shared" si="12"/>
        <v>23.636363636363637</v>
      </c>
      <c r="W24" s="1">
        <f t="shared" si="12"/>
        <v>24.545454545454547</v>
      </c>
      <c r="X24" s="1">
        <f t="shared" si="12"/>
        <v>25.454545454545453</v>
      </c>
      <c r="Y24" s="1">
        <f t="shared" si="12"/>
        <v>26.363636363636363</v>
      </c>
      <c r="Z24" s="1">
        <f t="shared" si="12"/>
        <v>27.272727272727273</v>
      </c>
      <c r="AA24" s="1">
        <f t="shared" si="12"/>
        <v>28.181818181818183</v>
      </c>
      <c r="AB24" s="1">
        <f t="shared" si="12"/>
        <v>29.09090909090909</v>
      </c>
      <c r="AC24" s="1">
        <f t="shared" si="12"/>
        <v>30</v>
      </c>
      <c r="AD24" s="1">
        <f t="shared" si="12"/>
        <v>30.90909090909091</v>
      </c>
      <c r="AE24" s="1">
        <f t="shared" si="12"/>
        <v>31.818181818181817</v>
      </c>
      <c r="AF24" s="1">
        <f t="shared" si="12"/>
        <v>32.727272727272727</v>
      </c>
      <c r="AG24" s="1">
        <f t="shared" si="12"/>
        <v>33.636363636363633</v>
      </c>
      <c r="AH24" s="1">
        <f t="shared" si="12"/>
        <v>34.545454545454547</v>
      </c>
      <c r="AI24" s="1">
        <f t="shared" si="12"/>
        <v>35.454545454545453</v>
      </c>
      <c r="AJ24" s="1">
        <f t="shared" si="12"/>
        <v>36.363636363636367</v>
      </c>
      <c r="AK24" s="1">
        <f t="shared" si="12"/>
        <v>37.272727272727273</v>
      </c>
      <c r="AL24" s="1">
        <f t="shared" si="12"/>
        <v>38.18181818181818</v>
      </c>
      <c r="AM24" s="1">
        <f t="shared" si="12"/>
        <v>39.090909090909093</v>
      </c>
      <c r="AN24" s="1">
        <f t="shared" si="12"/>
        <v>40</v>
      </c>
      <c r="AO24" s="1">
        <f t="shared" si="12"/>
        <v>40.909090909090907</v>
      </c>
      <c r="AP24" s="1">
        <f t="shared" si="12"/>
        <v>41.81818181818182</v>
      </c>
      <c r="AQ24" s="1">
        <f t="shared" si="12"/>
        <v>42.727272727272727</v>
      </c>
      <c r="AR24" s="1">
        <f t="shared" si="12"/>
        <v>43.636363636363633</v>
      </c>
      <c r="AS24" s="1">
        <f t="shared" si="12"/>
        <v>44.545454545454547</v>
      </c>
      <c r="AT24" s="1">
        <f t="shared" si="12"/>
        <v>45.454545454545453</v>
      </c>
      <c r="AU24" s="1">
        <f t="shared" si="12"/>
        <v>46.363636363636367</v>
      </c>
      <c r="AV24" s="1">
        <f t="shared" si="12"/>
        <v>47.272727272727273</v>
      </c>
      <c r="AW24" s="1">
        <f t="shared" si="12"/>
        <v>48.18181818181818</v>
      </c>
      <c r="AX24" s="1">
        <f t="shared" si="12"/>
        <v>49.090909090909093</v>
      </c>
      <c r="AY24" s="1">
        <f t="shared" si="12"/>
        <v>50</v>
      </c>
      <c r="AZ24" s="1">
        <f t="shared" si="12"/>
        <v>50.909090909090907</v>
      </c>
      <c r="BA24" s="1">
        <f t="shared" si="12"/>
        <v>51.81818181818182</v>
      </c>
      <c r="BB24" s="1">
        <f t="shared" si="12"/>
        <v>52.727272727272727</v>
      </c>
      <c r="BC24" s="1">
        <f t="shared" si="12"/>
        <v>53.636363636363633</v>
      </c>
      <c r="BD24" s="1">
        <f t="shared" si="12"/>
        <v>54.545454545454547</v>
      </c>
      <c r="BE24" s="1">
        <f t="shared" si="12"/>
        <v>55.454545454545453</v>
      </c>
      <c r="BF24" s="1">
        <f t="shared" si="12"/>
        <v>56.363636363636367</v>
      </c>
      <c r="BG24" s="1">
        <f t="shared" si="12"/>
        <v>57.272727272727273</v>
      </c>
      <c r="BH24" s="1">
        <f t="shared" si="12"/>
        <v>58.18181818181818</v>
      </c>
      <c r="BI24" s="1">
        <f t="shared" si="12"/>
        <v>59.090909090909093</v>
      </c>
      <c r="BJ24" s="1">
        <f t="shared" si="12"/>
        <v>60</v>
      </c>
      <c r="BK24" s="1">
        <f t="shared" si="12"/>
        <v>60.909090909090907</v>
      </c>
      <c r="BL24" s="1">
        <f t="shared" si="12"/>
        <v>61.81818181818182</v>
      </c>
      <c r="BM24" s="1">
        <f t="shared" si="12"/>
        <v>62.727272727272727</v>
      </c>
      <c r="BN24" s="1">
        <f t="shared" si="12"/>
        <v>63.636363636363633</v>
      </c>
      <c r="BO24" s="1">
        <f t="shared" ref="BO24:BP28" si="18">IF($V$3=0,0,($V$2*BO$16)/ ($C24 * $V$3))</f>
        <v>64.545454545454547</v>
      </c>
      <c r="BP24" s="1">
        <f t="shared" si="18"/>
        <v>65.454545454545453</v>
      </c>
      <c r="BQ24" s="1">
        <f t="shared" si="15"/>
        <v>66.36363636363636</v>
      </c>
      <c r="BR24" s="1">
        <f t="shared" si="15"/>
        <v>67.272727272727266</v>
      </c>
      <c r="BS24" s="1">
        <f t="shared" si="15"/>
        <v>68.181818181818187</v>
      </c>
      <c r="BT24" s="1">
        <f t="shared" si="15"/>
        <v>69.090909090909093</v>
      </c>
      <c r="BU24" s="1">
        <f t="shared" si="15"/>
        <v>70</v>
      </c>
      <c r="BV24" s="1">
        <f t="shared" si="15"/>
        <v>70.909090909090907</v>
      </c>
      <c r="BW24" s="1">
        <f t="shared" si="15"/>
        <v>71.818181818181813</v>
      </c>
      <c r="BX24" s="1">
        <f t="shared" si="15"/>
        <v>72.727272727272734</v>
      </c>
      <c r="BY24" s="1">
        <f t="shared" si="15"/>
        <v>73.63636363636364</v>
      </c>
      <c r="BZ24" s="1">
        <f t="shared" si="15"/>
        <v>74.545454545454547</v>
      </c>
      <c r="CA24" s="1">
        <f t="shared" si="15"/>
        <v>75.454545454545453</v>
      </c>
      <c r="CB24" s="1">
        <f t="shared" si="15"/>
        <v>76.36363636363636</v>
      </c>
      <c r="CC24" s="1">
        <f t="shared" si="15"/>
        <v>77.272727272727266</v>
      </c>
      <c r="CD24" s="1">
        <f t="shared" si="15"/>
        <v>78.181818181818187</v>
      </c>
      <c r="CE24" s="1">
        <f t="shared" si="15"/>
        <v>79.090909090909093</v>
      </c>
      <c r="CF24" s="1">
        <f t="shared" si="15"/>
        <v>80</v>
      </c>
      <c r="CG24" s="1">
        <f t="shared" si="16"/>
        <v>80.909090909090907</v>
      </c>
      <c r="CH24" s="1">
        <f t="shared" si="16"/>
        <v>81.818181818181813</v>
      </c>
      <c r="CI24" s="1">
        <f t="shared" si="16"/>
        <v>82.727272727272734</v>
      </c>
      <c r="CJ24" s="1">
        <f t="shared" si="16"/>
        <v>83.63636363636364</v>
      </c>
      <c r="CK24" s="1">
        <f t="shared" si="16"/>
        <v>84.545454545454547</v>
      </c>
      <c r="CL24" s="1">
        <f t="shared" si="16"/>
        <v>85.454545454545453</v>
      </c>
      <c r="CM24" s="1">
        <f t="shared" si="16"/>
        <v>86.36363636363636</v>
      </c>
      <c r="CN24" s="1">
        <f t="shared" si="16"/>
        <v>87.272727272727266</v>
      </c>
      <c r="CO24" s="1">
        <f t="shared" si="16"/>
        <v>88.181818181818187</v>
      </c>
      <c r="CP24" s="1">
        <f t="shared" si="16"/>
        <v>89.090909090909093</v>
      </c>
      <c r="CQ24" s="1">
        <f t="shared" si="16"/>
        <v>90</v>
      </c>
      <c r="CR24" s="1">
        <f t="shared" si="16"/>
        <v>90.909090909090907</v>
      </c>
      <c r="CS24" s="1">
        <f t="shared" si="16"/>
        <v>91.818181818181813</v>
      </c>
      <c r="CT24" s="1">
        <f t="shared" si="16"/>
        <v>92.727272727272734</v>
      </c>
      <c r="CU24" s="1">
        <f t="shared" si="16"/>
        <v>93.63636363636364</v>
      </c>
      <c r="CV24" s="1">
        <f t="shared" si="16"/>
        <v>94.545454545454547</v>
      </c>
      <c r="CW24" s="1">
        <f t="shared" si="17"/>
        <v>95.454545454545453</v>
      </c>
      <c r="CX24" s="1">
        <f t="shared" si="17"/>
        <v>96.36363636363636</v>
      </c>
      <c r="CY24" s="1">
        <f t="shared" si="17"/>
        <v>97.272727272727266</v>
      </c>
      <c r="CZ24" s="1">
        <f t="shared" si="17"/>
        <v>98.181818181818187</v>
      </c>
      <c r="DA24" s="1">
        <f t="shared" si="17"/>
        <v>99.090909090909093</v>
      </c>
      <c r="DB24" s="1">
        <f t="shared" si="17"/>
        <v>100</v>
      </c>
      <c r="DC24" s="1">
        <f t="shared" si="17"/>
        <v>100.90909090909091</v>
      </c>
      <c r="DD24" s="1">
        <f t="shared" si="17"/>
        <v>101.81818181818181</v>
      </c>
      <c r="DE24" s="1">
        <f t="shared" si="17"/>
        <v>102.72727272727273</v>
      </c>
      <c r="DF24" s="1">
        <f t="shared" si="17"/>
        <v>103.63636363636364</v>
      </c>
      <c r="DG24" s="1">
        <f t="shared" si="17"/>
        <v>104.54545454545455</v>
      </c>
      <c r="DH24" s="1">
        <f t="shared" si="17"/>
        <v>105.45454545454545</v>
      </c>
      <c r="DI24" s="1">
        <f t="shared" si="17"/>
        <v>106.36363636363636</v>
      </c>
      <c r="DJ24" s="1">
        <f t="shared" si="17"/>
        <v>107.27272727272727</v>
      </c>
      <c r="DK24" s="1">
        <f t="shared" si="17"/>
        <v>108.18181818181819</v>
      </c>
      <c r="DL24" s="1">
        <f t="shared" si="17"/>
        <v>109.09090909090909</v>
      </c>
      <c r="DM24" s="1">
        <f t="shared" si="13"/>
        <v>110</v>
      </c>
      <c r="DN24" s="1">
        <f t="shared" si="13"/>
        <v>110.90909090909091</v>
      </c>
      <c r="DO24" s="1">
        <f t="shared" si="13"/>
        <v>111.81818181818181</v>
      </c>
      <c r="DP24" s="1">
        <f t="shared" si="14"/>
        <v>112.72727272727273</v>
      </c>
      <c r="DQ24" s="1">
        <f t="shared" si="14"/>
        <v>113.63636363636364</v>
      </c>
      <c r="DR24" s="1">
        <f t="shared" si="14"/>
        <v>114.54545454545455</v>
      </c>
      <c r="DS24" s="1">
        <f t="shared" si="14"/>
        <v>115.45454545454545</v>
      </c>
    </row>
    <row r="25" spans="1:123" x14ac:dyDescent="0.3">
      <c r="A25" s="94"/>
      <c r="B25" s="13" t="str">
        <f t="shared" si="7"/>
        <v>0x0C</v>
      </c>
      <c r="C25" s="17">
        <f t="shared" si="10"/>
        <v>12</v>
      </c>
      <c r="D25" s="1">
        <f t="shared" si="11"/>
        <v>6.666666666666667</v>
      </c>
      <c r="E25" s="1">
        <f t="shared" si="11"/>
        <v>7.5</v>
      </c>
      <c r="F25" s="1">
        <f t="shared" si="11"/>
        <v>8.3333333333333339</v>
      </c>
      <c r="G25" s="1">
        <f t="shared" si="11"/>
        <v>9.1666666666666661</v>
      </c>
      <c r="H25" s="1">
        <f t="shared" si="11"/>
        <v>10</v>
      </c>
      <c r="I25" s="1">
        <f t="shared" si="11"/>
        <v>10.833333333333334</v>
      </c>
      <c r="J25" s="1">
        <f t="shared" si="11"/>
        <v>11.666666666666666</v>
      </c>
      <c r="K25" s="1">
        <f t="shared" si="11"/>
        <v>12.5</v>
      </c>
      <c r="L25" s="1">
        <f t="shared" si="11"/>
        <v>13.333333333333334</v>
      </c>
      <c r="M25" s="1">
        <f t="shared" si="11"/>
        <v>14.166666666666666</v>
      </c>
      <c r="N25" s="1">
        <f t="shared" si="11"/>
        <v>15</v>
      </c>
      <c r="O25" s="1">
        <f t="shared" si="11"/>
        <v>15.833333333333334</v>
      </c>
      <c r="P25" s="1">
        <f t="shared" si="11"/>
        <v>16.666666666666668</v>
      </c>
      <c r="Q25" s="1">
        <f t="shared" si="11"/>
        <v>17.5</v>
      </c>
      <c r="R25" s="1">
        <f t="shared" si="11"/>
        <v>18.333333333333332</v>
      </c>
      <c r="S25" s="1">
        <f t="shared" si="11"/>
        <v>19.166666666666668</v>
      </c>
      <c r="T25" s="1">
        <f t="shared" ref="T25:AI28" si="19">IF($V$3=0,0,($V$2*T$16)/ ($C25 * $V$3))</f>
        <v>20</v>
      </c>
      <c r="U25" s="1">
        <f t="shared" si="19"/>
        <v>20.833333333333332</v>
      </c>
      <c r="V25" s="1">
        <f t="shared" si="19"/>
        <v>21.666666666666668</v>
      </c>
      <c r="W25" s="1">
        <f t="shared" si="19"/>
        <v>22.5</v>
      </c>
      <c r="X25" s="1">
        <f t="shared" si="19"/>
        <v>23.333333333333332</v>
      </c>
      <c r="Y25" s="1">
        <f t="shared" si="19"/>
        <v>24.166666666666668</v>
      </c>
      <c r="Z25" s="1">
        <f t="shared" si="19"/>
        <v>25</v>
      </c>
      <c r="AA25" s="1">
        <f t="shared" si="19"/>
        <v>25.833333333333332</v>
      </c>
      <c r="AB25" s="1">
        <f t="shared" si="19"/>
        <v>26.666666666666668</v>
      </c>
      <c r="AC25" s="1">
        <f t="shared" si="19"/>
        <v>27.5</v>
      </c>
      <c r="AD25" s="1">
        <f t="shared" si="19"/>
        <v>28.333333333333332</v>
      </c>
      <c r="AE25" s="1">
        <f t="shared" si="19"/>
        <v>29.166666666666668</v>
      </c>
      <c r="AF25" s="1">
        <f t="shared" si="19"/>
        <v>30</v>
      </c>
      <c r="AG25" s="1">
        <f t="shared" si="19"/>
        <v>30.833333333333332</v>
      </c>
      <c r="AH25" s="1">
        <f t="shared" si="19"/>
        <v>31.666666666666668</v>
      </c>
      <c r="AI25" s="1">
        <f t="shared" si="19"/>
        <v>32.5</v>
      </c>
      <c r="AJ25" s="1">
        <f t="shared" ref="AJ25:AY28" si="20">IF($V$3=0,0,($V$2*AJ$16)/ ($C25 * $V$3))</f>
        <v>33.333333333333336</v>
      </c>
      <c r="AK25" s="1">
        <f t="shared" si="20"/>
        <v>34.166666666666664</v>
      </c>
      <c r="AL25" s="1">
        <f t="shared" si="20"/>
        <v>35</v>
      </c>
      <c r="AM25" s="1">
        <f t="shared" si="20"/>
        <v>35.833333333333336</v>
      </c>
      <c r="AN25" s="1">
        <f t="shared" si="20"/>
        <v>36.666666666666664</v>
      </c>
      <c r="AO25" s="1">
        <f t="shared" si="20"/>
        <v>37.5</v>
      </c>
      <c r="AP25" s="1">
        <f t="shared" si="20"/>
        <v>38.333333333333336</v>
      </c>
      <c r="AQ25" s="1">
        <f t="shared" si="20"/>
        <v>39.166666666666664</v>
      </c>
      <c r="AR25" s="1">
        <f t="shared" si="20"/>
        <v>40</v>
      </c>
      <c r="AS25" s="1">
        <f t="shared" si="20"/>
        <v>40.833333333333336</v>
      </c>
      <c r="AT25" s="1">
        <f t="shared" si="20"/>
        <v>41.666666666666664</v>
      </c>
      <c r="AU25" s="1">
        <f t="shared" si="20"/>
        <v>42.5</v>
      </c>
      <c r="AV25" s="1">
        <f t="shared" si="20"/>
        <v>43.333333333333336</v>
      </c>
      <c r="AW25" s="1">
        <f t="shared" si="20"/>
        <v>44.166666666666664</v>
      </c>
      <c r="AX25" s="1">
        <f t="shared" si="20"/>
        <v>45</v>
      </c>
      <c r="AY25" s="1">
        <f t="shared" si="20"/>
        <v>45.833333333333336</v>
      </c>
      <c r="AZ25" s="1">
        <f t="shared" ref="AZ25:BO28" si="21">IF($V$3=0,0,($V$2*AZ$16)/ ($C25 * $V$3))</f>
        <v>46.666666666666664</v>
      </c>
      <c r="BA25" s="1">
        <f t="shared" si="21"/>
        <v>47.5</v>
      </c>
      <c r="BB25" s="1">
        <f t="shared" si="21"/>
        <v>48.333333333333336</v>
      </c>
      <c r="BC25" s="1">
        <f t="shared" si="21"/>
        <v>49.166666666666664</v>
      </c>
      <c r="BD25" s="1">
        <f t="shared" si="21"/>
        <v>50</v>
      </c>
      <c r="BE25" s="1">
        <f t="shared" si="21"/>
        <v>50.833333333333336</v>
      </c>
      <c r="BF25" s="1">
        <f t="shared" si="21"/>
        <v>51.666666666666664</v>
      </c>
      <c r="BG25" s="1">
        <f t="shared" si="21"/>
        <v>52.5</v>
      </c>
      <c r="BH25" s="1">
        <f t="shared" si="21"/>
        <v>53.333333333333336</v>
      </c>
      <c r="BI25" s="1">
        <f t="shared" si="21"/>
        <v>54.166666666666664</v>
      </c>
      <c r="BJ25" s="1">
        <f t="shared" si="21"/>
        <v>55</v>
      </c>
      <c r="BK25" s="1">
        <f t="shared" si="21"/>
        <v>55.833333333333336</v>
      </c>
      <c r="BL25" s="1">
        <f t="shared" si="21"/>
        <v>56.666666666666664</v>
      </c>
      <c r="BM25" s="1">
        <f t="shared" si="21"/>
        <v>57.5</v>
      </c>
      <c r="BN25" s="1">
        <f t="shared" si="21"/>
        <v>58.333333333333336</v>
      </c>
      <c r="BO25" s="1">
        <f t="shared" si="21"/>
        <v>59.166666666666664</v>
      </c>
      <c r="BP25" s="1">
        <f t="shared" si="18"/>
        <v>60</v>
      </c>
      <c r="BQ25" s="1">
        <f t="shared" si="15"/>
        <v>60.833333333333336</v>
      </c>
      <c r="BR25" s="1">
        <f t="shared" si="15"/>
        <v>61.666666666666664</v>
      </c>
      <c r="BS25" s="1">
        <f t="shared" si="15"/>
        <v>62.5</v>
      </c>
      <c r="BT25" s="1">
        <f t="shared" si="15"/>
        <v>63.333333333333336</v>
      </c>
      <c r="BU25" s="1">
        <f t="shared" si="15"/>
        <v>64.166666666666671</v>
      </c>
      <c r="BV25" s="1">
        <f t="shared" si="15"/>
        <v>65</v>
      </c>
      <c r="BW25" s="1">
        <f t="shared" si="15"/>
        <v>65.833333333333329</v>
      </c>
      <c r="BX25" s="1">
        <f t="shared" si="15"/>
        <v>66.666666666666671</v>
      </c>
      <c r="BY25" s="1">
        <f t="shared" si="15"/>
        <v>67.5</v>
      </c>
      <c r="BZ25" s="1">
        <f t="shared" si="15"/>
        <v>68.333333333333329</v>
      </c>
      <c r="CA25" s="1">
        <f t="shared" si="15"/>
        <v>69.166666666666671</v>
      </c>
      <c r="CB25" s="1">
        <f t="shared" si="15"/>
        <v>70</v>
      </c>
      <c r="CC25" s="1">
        <f t="shared" si="15"/>
        <v>70.833333333333329</v>
      </c>
      <c r="CD25" s="1">
        <f t="shared" si="15"/>
        <v>71.666666666666671</v>
      </c>
      <c r="CE25" s="1">
        <f t="shared" si="15"/>
        <v>72.5</v>
      </c>
      <c r="CF25" s="1">
        <f t="shared" si="15"/>
        <v>73.333333333333329</v>
      </c>
      <c r="CG25" s="1">
        <f t="shared" si="16"/>
        <v>74.166666666666671</v>
      </c>
      <c r="CH25" s="1">
        <f t="shared" si="16"/>
        <v>75</v>
      </c>
      <c r="CI25" s="1">
        <f t="shared" si="16"/>
        <v>75.833333333333329</v>
      </c>
      <c r="CJ25" s="1">
        <f t="shared" si="16"/>
        <v>76.666666666666671</v>
      </c>
      <c r="CK25" s="1">
        <f t="shared" si="16"/>
        <v>77.5</v>
      </c>
      <c r="CL25" s="1">
        <f t="shared" si="16"/>
        <v>78.333333333333329</v>
      </c>
      <c r="CM25" s="1">
        <f t="shared" si="16"/>
        <v>79.166666666666671</v>
      </c>
      <c r="CN25" s="1">
        <f t="shared" si="16"/>
        <v>80</v>
      </c>
      <c r="CO25" s="1">
        <f t="shared" si="16"/>
        <v>80.833333333333329</v>
      </c>
      <c r="CP25" s="1">
        <f t="shared" si="16"/>
        <v>81.666666666666671</v>
      </c>
      <c r="CQ25" s="1">
        <f t="shared" si="16"/>
        <v>82.5</v>
      </c>
      <c r="CR25" s="1">
        <f t="shared" si="16"/>
        <v>83.333333333333329</v>
      </c>
      <c r="CS25" s="1">
        <f t="shared" si="16"/>
        <v>84.166666666666671</v>
      </c>
      <c r="CT25" s="1">
        <f t="shared" si="16"/>
        <v>85</v>
      </c>
      <c r="CU25" s="1">
        <f t="shared" si="16"/>
        <v>85.833333333333329</v>
      </c>
      <c r="CV25" s="1">
        <f t="shared" si="16"/>
        <v>86.666666666666671</v>
      </c>
      <c r="CW25" s="1">
        <f t="shared" si="17"/>
        <v>87.5</v>
      </c>
      <c r="CX25" s="1">
        <f t="shared" si="17"/>
        <v>88.333333333333329</v>
      </c>
      <c r="CY25" s="1">
        <f t="shared" si="17"/>
        <v>89.166666666666671</v>
      </c>
      <c r="CZ25" s="1">
        <f t="shared" si="17"/>
        <v>90</v>
      </c>
      <c r="DA25" s="1">
        <f t="shared" si="17"/>
        <v>90.833333333333329</v>
      </c>
      <c r="DB25" s="1">
        <f t="shared" si="17"/>
        <v>91.666666666666671</v>
      </c>
      <c r="DC25" s="1">
        <f t="shared" si="17"/>
        <v>92.5</v>
      </c>
      <c r="DD25" s="1">
        <f t="shared" si="17"/>
        <v>93.333333333333329</v>
      </c>
      <c r="DE25" s="1">
        <f t="shared" si="17"/>
        <v>94.166666666666671</v>
      </c>
      <c r="DF25" s="1">
        <f t="shared" si="17"/>
        <v>95</v>
      </c>
      <c r="DG25" s="1">
        <f t="shared" si="17"/>
        <v>95.833333333333329</v>
      </c>
      <c r="DH25" s="1">
        <f t="shared" si="17"/>
        <v>96.666666666666671</v>
      </c>
      <c r="DI25" s="1">
        <f t="shared" si="17"/>
        <v>97.5</v>
      </c>
      <c r="DJ25" s="1">
        <f t="shared" si="17"/>
        <v>98.333333333333329</v>
      </c>
      <c r="DK25" s="1">
        <f t="shared" si="17"/>
        <v>99.166666666666671</v>
      </c>
      <c r="DL25" s="1">
        <f t="shared" si="17"/>
        <v>100</v>
      </c>
      <c r="DM25" s="1">
        <f t="shared" si="13"/>
        <v>100.83333333333333</v>
      </c>
      <c r="DN25" s="1">
        <f t="shared" si="13"/>
        <v>101.66666666666667</v>
      </c>
      <c r="DO25" s="1">
        <f t="shared" si="13"/>
        <v>102.5</v>
      </c>
      <c r="DP25" s="1">
        <f t="shared" si="14"/>
        <v>103.33333333333333</v>
      </c>
      <c r="DQ25" s="1">
        <f t="shared" si="14"/>
        <v>104.16666666666667</v>
      </c>
      <c r="DR25" s="1">
        <f t="shared" si="14"/>
        <v>105</v>
      </c>
      <c r="DS25" s="1">
        <f t="shared" si="14"/>
        <v>105.83333333333333</v>
      </c>
    </row>
    <row r="26" spans="1:123" x14ac:dyDescent="0.3">
      <c r="A26" s="94"/>
      <c r="B26" s="13" t="str">
        <f t="shared" si="7"/>
        <v>0x0D</v>
      </c>
      <c r="C26" s="17">
        <f t="shared" si="10"/>
        <v>13</v>
      </c>
      <c r="D26" s="1">
        <f t="shared" si="11"/>
        <v>6.1538461538461542</v>
      </c>
      <c r="E26" s="1">
        <f t="shared" si="11"/>
        <v>6.9230769230769234</v>
      </c>
      <c r="F26" s="1">
        <f t="shared" si="11"/>
        <v>7.6923076923076925</v>
      </c>
      <c r="G26" s="1">
        <f t="shared" si="11"/>
        <v>8.4615384615384617</v>
      </c>
      <c r="H26" s="1">
        <f t="shared" si="11"/>
        <v>9.2307692307692299</v>
      </c>
      <c r="I26" s="1">
        <f t="shared" si="11"/>
        <v>10</v>
      </c>
      <c r="J26" s="1">
        <f t="shared" si="11"/>
        <v>10.76923076923077</v>
      </c>
      <c r="K26" s="1">
        <f t="shared" si="11"/>
        <v>11.538461538461538</v>
      </c>
      <c r="L26" s="1">
        <f t="shared" si="11"/>
        <v>12.307692307692308</v>
      </c>
      <c r="M26" s="1">
        <f t="shared" si="11"/>
        <v>13.076923076923077</v>
      </c>
      <c r="N26" s="1">
        <f t="shared" si="11"/>
        <v>13.846153846153847</v>
      </c>
      <c r="O26" s="1">
        <f t="shared" si="11"/>
        <v>14.615384615384615</v>
      </c>
      <c r="P26" s="1">
        <f t="shared" si="11"/>
        <v>15.384615384615385</v>
      </c>
      <c r="Q26" s="1">
        <f t="shared" si="11"/>
        <v>16.153846153846153</v>
      </c>
      <c r="R26" s="1">
        <f t="shared" si="11"/>
        <v>16.923076923076923</v>
      </c>
      <c r="S26" s="1">
        <f t="shared" si="11"/>
        <v>17.692307692307693</v>
      </c>
      <c r="T26" s="1">
        <f t="shared" si="19"/>
        <v>18.46153846153846</v>
      </c>
      <c r="U26" s="1">
        <f t="shared" si="19"/>
        <v>19.23076923076923</v>
      </c>
      <c r="V26" s="1">
        <f t="shared" si="19"/>
        <v>20</v>
      </c>
      <c r="W26" s="1">
        <f t="shared" si="19"/>
        <v>20.76923076923077</v>
      </c>
      <c r="X26" s="1">
        <f t="shared" si="19"/>
        <v>21.53846153846154</v>
      </c>
      <c r="Y26" s="1">
        <f t="shared" si="19"/>
        <v>22.307692307692307</v>
      </c>
      <c r="Z26" s="1">
        <f t="shared" si="19"/>
        <v>23.076923076923077</v>
      </c>
      <c r="AA26" s="1">
        <f t="shared" si="19"/>
        <v>23.846153846153847</v>
      </c>
      <c r="AB26" s="1">
        <f t="shared" si="19"/>
        <v>24.615384615384617</v>
      </c>
      <c r="AC26" s="1">
        <f t="shared" si="19"/>
        <v>25.384615384615383</v>
      </c>
      <c r="AD26" s="1">
        <f t="shared" si="19"/>
        <v>26.153846153846153</v>
      </c>
      <c r="AE26" s="1">
        <f t="shared" si="19"/>
        <v>26.923076923076923</v>
      </c>
      <c r="AF26" s="1">
        <f t="shared" si="19"/>
        <v>27.692307692307693</v>
      </c>
      <c r="AG26" s="1">
        <f t="shared" si="19"/>
        <v>28.46153846153846</v>
      </c>
      <c r="AH26" s="1">
        <f t="shared" si="19"/>
        <v>29.23076923076923</v>
      </c>
      <c r="AI26" s="1">
        <f t="shared" si="19"/>
        <v>30</v>
      </c>
      <c r="AJ26" s="1">
        <f t="shared" si="20"/>
        <v>30.76923076923077</v>
      </c>
      <c r="AK26" s="1">
        <f t="shared" si="20"/>
        <v>31.53846153846154</v>
      </c>
      <c r="AL26" s="1">
        <f t="shared" si="20"/>
        <v>32.307692307692307</v>
      </c>
      <c r="AM26" s="1">
        <f t="shared" si="20"/>
        <v>33.07692307692308</v>
      </c>
      <c r="AN26" s="1">
        <f t="shared" si="20"/>
        <v>33.846153846153847</v>
      </c>
      <c r="AO26" s="1">
        <f t="shared" si="20"/>
        <v>34.615384615384613</v>
      </c>
      <c r="AP26" s="1">
        <f t="shared" si="20"/>
        <v>35.384615384615387</v>
      </c>
      <c r="AQ26" s="1">
        <f t="shared" si="20"/>
        <v>36.153846153846153</v>
      </c>
      <c r="AR26" s="1">
        <f t="shared" si="20"/>
        <v>36.92307692307692</v>
      </c>
      <c r="AS26" s="1">
        <f t="shared" si="20"/>
        <v>37.692307692307693</v>
      </c>
      <c r="AT26" s="1">
        <f t="shared" si="20"/>
        <v>38.46153846153846</v>
      </c>
      <c r="AU26" s="1">
        <f t="shared" si="20"/>
        <v>39.230769230769234</v>
      </c>
      <c r="AV26" s="1">
        <f t="shared" si="20"/>
        <v>40</v>
      </c>
      <c r="AW26" s="1">
        <f t="shared" si="20"/>
        <v>40.769230769230766</v>
      </c>
      <c r="AX26" s="1">
        <f t="shared" si="20"/>
        <v>41.53846153846154</v>
      </c>
      <c r="AY26" s="1">
        <f t="shared" si="20"/>
        <v>42.307692307692307</v>
      </c>
      <c r="AZ26" s="1">
        <f t="shared" si="21"/>
        <v>43.07692307692308</v>
      </c>
      <c r="BA26" s="1">
        <f t="shared" si="21"/>
        <v>43.846153846153847</v>
      </c>
      <c r="BB26" s="1">
        <f t="shared" si="21"/>
        <v>44.615384615384613</v>
      </c>
      <c r="BC26" s="1">
        <f t="shared" si="21"/>
        <v>45.384615384615387</v>
      </c>
      <c r="BD26" s="1">
        <f t="shared" si="21"/>
        <v>46.153846153846153</v>
      </c>
      <c r="BE26" s="1">
        <f t="shared" si="21"/>
        <v>46.92307692307692</v>
      </c>
      <c r="BF26" s="1">
        <f t="shared" si="21"/>
        <v>47.692307692307693</v>
      </c>
      <c r="BG26" s="1">
        <f t="shared" si="21"/>
        <v>48.46153846153846</v>
      </c>
      <c r="BH26" s="1">
        <f t="shared" si="21"/>
        <v>49.230769230769234</v>
      </c>
      <c r="BI26" s="1">
        <f t="shared" si="21"/>
        <v>50</v>
      </c>
      <c r="BJ26" s="1">
        <f t="shared" si="21"/>
        <v>50.769230769230766</v>
      </c>
      <c r="BK26" s="1">
        <f t="shared" si="21"/>
        <v>51.53846153846154</v>
      </c>
      <c r="BL26" s="1">
        <f t="shared" si="21"/>
        <v>52.307692307692307</v>
      </c>
      <c r="BM26" s="1">
        <f t="shared" si="21"/>
        <v>53.07692307692308</v>
      </c>
      <c r="BN26" s="1">
        <f t="shared" si="21"/>
        <v>53.846153846153847</v>
      </c>
      <c r="BO26" s="1">
        <f t="shared" si="21"/>
        <v>54.615384615384613</v>
      </c>
      <c r="BP26" s="1">
        <f t="shared" si="18"/>
        <v>55.384615384615387</v>
      </c>
      <c r="BQ26" s="1">
        <f t="shared" si="15"/>
        <v>56.153846153846153</v>
      </c>
      <c r="BR26" s="1">
        <f t="shared" si="15"/>
        <v>56.92307692307692</v>
      </c>
      <c r="BS26" s="1">
        <f t="shared" si="15"/>
        <v>57.692307692307693</v>
      </c>
      <c r="BT26" s="1">
        <f t="shared" si="15"/>
        <v>58.46153846153846</v>
      </c>
      <c r="BU26" s="1">
        <f t="shared" si="15"/>
        <v>59.230769230769234</v>
      </c>
      <c r="BV26" s="1">
        <f t="shared" si="15"/>
        <v>60</v>
      </c>
      <c r="BW26" s="1">
        <f t="shared" si="15"/>
        <v>60.769230769230766</v>
      </c>
      <c r="BX26" s="1">
        <f t="shared" si="15"/>
        <v>61.53846153846154</v>
      </c>
      <c r="BY26" s="1">
        <f t="shared" si="15"/>
        <v>62.307692307692307</v>
      </c>
      <c r="BZ26" s="1">
        <f t="shared" si="15"/>
        <v>63.07692307692308</v>
      </c>
      <c r="CA26" s="1">
        <f t="shared" si="15"/>
        <v>63.846153846153847</v>
      </c>
      <c r="CB26" s="1">
        <f t="shared" si="15"/>
        <v>64.615384615384613</v>
      </c>
      <c r="CC26" s="1">
        <f t="shared" si="15"/>
        <v>65.384615384615387</v>
      </c>
      <c r="CD26" s="1">
        <f t="shared" si="15"/>
        <v>66.15384615384616</v>
      </c>
      <c r="CE26" s="1">
        <f t="shared" si="15"/>
        <v>66.92307692307692</v>
      </c>
      <c r="CF26" s="1">
        <f t="shared" si="15"/>
        <v>67.692307692307693</v>
      </c>
      <c r="CG26" s="1">
        <f t="shared" si="16"/>
        <v>68.461538461538467</v>
      </c>
      <c r="CH26" s="1">
        <f t="shared" si="16"/>
        <v>69.230769230769226</v>
      </c>
      <c r="CI26" s="1">
        <f t="shared" si="16"/>
        <v>70</v>
      </c>
      <c r="CJ26" s="1">
        <f t="shared" si="16"/>
        <v>70.769230769230774</v>
      </c>
      <c r="CK26" s="1">
        <f t="shared" si="16"/>
        <v>71.538461538461533</v>
      </c>
      <c r="CL26" s="1">
        <f t="shared" si="16"/>
        <v>72.307692307692307</v>
      </c>
      <c r="CM26" s="1">
        <f t="shared" si="16"/>
        <v>73.07692307692308</v>
      </c>
      <c r="CN26" s="1">
        <f t="shared" si="16"/>
        <v>73.84615384615384</v>
      </c>
      <c r="CO26" s="1">
        <f t="shared" si="16"/>
        <v>74.615384615384613</v>
      </c>
      <c r="CP26" s="1">
        <f t="shared" si="16"/>
        <v>75.384615384615387</v>
      </c>
      <c r="CQ26" s="1">
        <f t="shared" si="16"/>
        <v>76.15384615384616</v>
      </c>
      <c r="CR26" s="1">
        <f t="shared" si="16"/>
        <v>76.92307692307692</v>
      </c>
      <c r="CS26" s="1">
        <f t="shared" si="16"/>
        <v>77.692307692307693</v>
      </c>
      <c r="CT26" s="1">
        <f t="shared" si="16"/>
        <v>78.461538461538467</v>
      </c>
      <c r="CU26" s="1">
        <f t="shared" si="16"/>
        <v>79.230769230769226</v>
      </c>
      <c r="CV26" s="1">
        <f t="shared" si="16"/>
        <v>80</v>
      </c>
      <c r="CW26" s="1">
        <f t="shared" si="17"/>
        <v>80.769230769230774</v>
      </c>
      <c r="CX26" s="1">
        <f t="shared" si="17"/>
        <v>81.538461538461533</v>
      </c>
      <c r="CY26" s="1">
        <f t="shared" si="17"/>
        <v>82.307692307692307</v>
      </c>
      <c r="CZ26" s="1">
        <f t="shared" si="17"/>
        <v>83.07692307692308</v>
      </c>
      <c r="DA26" s="1">
        <f t="shared" si="17"/>
        <v>83.84615384615384</v>
      </c>
      <c r="DB26" s="1">
        <f t="shared" si="17"/>
        <v>84.615384615384613</v>
      </c>
      <c r="DC26" s="1">
        <f t="shared" si="17"/>
        <v>85.384615384615387</v>
      </c>
      <c r="DD26" s="1">
        <f t="shared" si="17"/>
        <v>86.15384615384616</v>
      </c>
      <c r="DE26" s="1">
        <f t="shared" si="17"/>
        <v>86.92307692307692</v>
      </c>
      <c r="DF26" s="1">
        <f t="shared" si="17"/>
        <v>87.692307692307693</v>
      </c>
      <c r="DG26" s="1">
        <f t="shared" si="17"/>
        <v>88.461538461538467</v>
      </c>
      <c r="DH26" s="1">
        <f t="shared" si="17"/>
        <v>89.230769230769226</v>
      </c>
      <c r="DI26" s="1">
        <f t="shared" si="17"/>
        <v>90</v>
      </c>
      <c r="DJ26" s="1">
        <f t="shared" si="17"/>
        <v>90.769230769230774</v>
      </c>
      <c r="DK26" s="1">
        <f t="shared" si="17"/>
        <v>91.538461538461533</v>
      </c>
      <c r="DL26" s="1">
        <f t="shared" si="17"/>
        <v>92.307692307692307</v>
      </c>
      <c r="DM26" s="1">
        <f t="shared" si="13"/>
        <v>93.07692307692308</v>
      </c>
      <c r="DN26" s="1">
        <f t="shared" si="13"/>
        <v>93.84615384615384</v>
      </c>
      <c r="DO26" s="1">
        <f t="shared" si="13"/>
        <v>94.615384615384613</v>
      </c>
      <c r="DP26" s="1">
        <f t="shared" si="14"/>
        <v>95.384615384615387</v>
      </c>
      <c r="DQ26" s="1">
        <f t="shared" si="14"/>
        <v>96.15384615384616</v>
      </c>
      <c r="DR26" s="1">
        <f t="shared" si="14"/>
        <v>96.92307692307692</v>
      </c>
      <c r="DS26" s="1">
        <f t="shared" si="14"/>
        <v>97.692307692307693</v>
      </c>
    </row>
    <row r="27" spans="1:123" x14ac:dyDescent="0.3">
      <c r="A27" s="94"/>
      <c r="B27" s="13" t="str">
        <f t="shared" si="7"/>
        <v>0x0E</v>
      </c>
      <c r="C27" s="17">
        <f t="shared" si="10"/>
        <v>14</v>
      </c>
      <c r="D27" s="1">
        <f t="shared" si="11"/>
        <v>5.7142857142857144</v>
      </c>
      <c r="E27" s="1">
        <f t="shared" si="11"/>
        <v>6.4285714285714288</v>
      </c>
      <c r="F27" s="1">
        <f t="shared" si="11"/>
        <v>7.1428571428571432</v>
      </c>
      <c r="G27" s="1">
        <f t="shared" si="11"/>
        <v>7.8571428571428568</v>
      </c>
      <c r="H27" s="1">
        <f t="shared" si="11"/>
        <v>8.5714285714285712</v>
      </c>
      <c r="I27" s="1">
        <f t="shared" si="11"/>
        <v>9.2857142857142865</v>
      </c>
      <c r="J27" s="1">
        <f t="shared" si="11"/>
        <v>10</v>
      </c>
      <c r="K27" s="1">
        <f t="shared" si="11"/>
        <v>10.714285714285714</v>
      </c>
      <c r="L27" s="1">
        <f t="shared" si="11"/>
        <v>11.428571428571429</v>
      </c>
      <c r="M27" s="1">
        <f t="shared" si="11"/>
        <v>12.142857142857142</v>
      </c>
      <c r="N27" s="1">
        <f t="shared" si="11"/>
        <v>12.857142857142858</v>
      </c>
      <c r="O27" s="1">
        <f t="shared" si="11"/>
        <v>13.571428571428571</v>
      </c>
      <c r="P27" s="1">
        <f t="shared" si="11"/>
        <v>14.285714285714286</v>
      </c>
      <c r="Q27" s="1">
        <f t="shared" si="11"/>
        <v>15</v>
      </c>
      <c r="R27" s="1">
        <f t="shared" si="11"/>
        <v>15.714285714285714</v>
      </c>
      <c r="S27" s="1">
        <f t="shared" si="11"/>
        <v>16.428571428571427</v>
      </c>
      <c r="T27" s="1">
        <f t="shared" si="19"/>
        <v>17.142857142857142</v>
      </c>
      <c r="U27" s="1">
        <f t="shared" si="19"/>
        <v>17.857142857142858</v>
      </c>
      <c r="V27" s="1">
        <f t="shared" si="19"/>
        <v>18.571428571428573</v>
      </c>
      <c r="W27" s="1">
        <f t="shared" si="19"/>
        <v>19.285714285714285</v>
      </c>
      <c r="X27" s="1">
        <f t="shared" si="19"/>
        <v>20</v>
      </c>
      <c r="Y27" s="1">
        <f t="shared" si="19"/>
        <v>20.714285714285715</v>
      </c>
      <c r="Z27" s="1">
        <f t="shared" si="19"/>
        <v>21.428571428571427</v>
      </c>
      <c r="AA27" s="1">
        <f t="shared" si="19"/>
        <v>22.142857142857142</v>
      </c>
      <c r="AB27" s="1">
        <f t="shared" si="19"/>
        <v>22.857142857142858</v>
      </c>
      <c r="AC27" s="1">
        <f t="shared" si="19"/>
        <v>23.571428571428573</v>
      </c>
      <c r="AD27" s="1">
        <f t="shared" si="19"/>
        <v>24.285714285714285</v>
      </c>
      <c r="AE27" s="1">
        <f t="shared" si="19"/>
        <v>25</v>
      </c>
      <c r="AF27" s="1">
        <f t="shared" si="19"/>
        <v>25.714285714285715</v>
      </c>
      <c r="AG27" s="1">
        <f t="shared" si="19"/>
        <v>26.428571428571427</v>
      </c>
      <c r="AH27" s="1">
        <f t="shared" si="19"/>
        <v>27.142857142857142</v>
      </c>
      <c r="AI27" s="1">
        <f t="shared" si="19"/>
        <v>27.857142857142858</v>
      </c>
      <c r="AJ27" s="1">
        <f t="shared" si="20"/>
        <v>28.571428571428573</v>
      </c>
      <c r="AK27" s="1">
        <f t="shared" si="20"/>
        <v>29.285714285714285</v>
      </c>
      <c r="AL27" s="1">
        <f t="shared" si="20"/>
        <v>30</v>
      </c>
      <c r="AM27" s="1">
        <f t="shared" si="20"/>
        <v>30.714285714285715</v>
      </c>
      <c r="AN27" s="1">
        <f t="shared" si="20"/>
        <v>31.428571428571427</v>
      </c>
      <c r="AO27" s="1">
        <f t="shared" si="20"/>
        <v>32.142857142857146</v>
      </c>
      <c r="AP27" s="1">
        <f t="shared" si="20"/>
        <v>32.857142857142854</v>
      </c>
      <c r="AQ27" s="1">
        <f t="shared" si="20"/>
        <v>33.571428571428569</v>
      </c>
      <c r="AR27" s="1">
        <f t="shared" si="20"/>
        <v>34.285714285714285</v>
      </c>
      <c r="AS27" s="1">
        <f t="shared" si="20"/>
        <v>35</v>
      </c>
      <c r="AT27" s="1">
        <f t="shared" si="20"/>
        <v>35.714285714285715</v>
      </c>
      <c r="AU27" s="1">
        <f t="shared" si="20"/>
        <v>36.428571428571431</v>
      </c>
      <c r="AV27" s="1">
        <f t="shared" si="20"/>
        <v>37.142857142857146</v>
      </c>
      <c r="AW27" s="1">
        <f t="shared" si="20"/>
        <v>37.857142857142854</v>
      </c>
      <c r="AX27" s="1">
        <f t="shared" si="20"/>
        <v>38.571428571428569</v>
      </c>
      <c r="AY27" s="1">
        <f t="shared" si="20"/>
        <v>39.285714285714285</v>
      </c>
      <c r="AZ27" s="1">
        <f t="shared" si="21"/>
        <v>40</v>
      </c>
      <c r="BA27" s="1">
        <f t="shared" si="21"/>
        <v>40.714285714285715</v>
      </c>
      <c r="BB27" s="1">
        <f t="shared" si="21"/>
        <v>41.428571428571431</v>
      </c>
      <c r="BC27" s="1">
        <f t="shared" si="21"/>
        <v>42.142857142857146</v>
      </c>
      <c r="BD27" s="1">
        <f t="shared" si="21"/>
        <v>42.857142857142854</v>
      </c>
      <c r="BE27" s="1">
        <f t="shared" si="21"/>
        <v>43.571428571428569</v>
      </c>
      <c r="BF27" s="1">
        <f t="shared" si="21"/>
        <v>44.285714285714285</v>
      </c>
      <c r="BG27" s="1">
        <f t="shared" si="21"/>
        <v>45</v>
      </c>
      <c r="BH27" s="1">
        <f t="shared" si="21"/>
        <v>45.714285714285715</v>
      </c>
      <c r="BI27" s="1">
        <f t="shared" si="21"/>
        <v>46.428571428571431</v>
      </c>
      <c r="BJ27" s="1">
        <f t="shared" si="21"/>
        <v>47.142857142857146</v>
      </c>
      <c r="BK27" s="1">
        <f t="shared" si="21"/>
        <v>47.857142857142854</v>
      </c>
      <c r="BL27" s="1">
        <f t="shared" si="21"/>
        <v>48.571428571428569</v>
      </c>
      <c r="BM27" s="1">
        <f t="shared" si="21"/>
        <v>49.285714285714285</v>
      </c>
      <c r="BN27" s="1">
        <f t="shared" si="21"/>
        <v>50</v>
      </c>
      <c r="BO27" s="1">
        <f t="shared" si="21"/>
        <v>50.714285714285715</v>
      </c>
      <c r="BP27" s="1">
        <f t="shared" si="18"/>
        <v>51.428571428571431</v>
      </c>
      <c r="BQ27" s="1">
        <f t="shared" si="15"/>
        <v>52.142857142857146</v>
      </c>
      <c r="BR27" s="1">
        <f t="shared" si="15"/>
        <v>52.857142857142854</v>
      </c>
      <c r="BS27" s="1">
        <f t="shared" si="15"/>
        <v>53.571428571428569</v>
      </c>
      <c r="BT27" s="1">
        <f t="shared" si="15"/>
        <v>54.285714285714285</v>
      </c>
      <c r="BU27" s="1">
        <f t="shared" si="15"/>
        <v>55</v>
      </c>
      <c r="BV27" s="1">
        <f t="shared" si="15"/>
        <v>55.714285714285715</v>
      </c>
      <c r="BW27" s="1">
        <f t="shared" si="15"/>
        <v>56.428571428571431</v>
      </c>
      <c r="BX27" s="1">
        <f t="shared" si="15"/>
        <v>57.142857142857146</v>
      </c>
      <c r="BY27" s="1">
        <f t="shared" si="15"/>
        <v>57.857142857142854</v>
      </c>
      <c r="BZ27" s="1">
        <f t="shared" si="15"/>
        <v>58.571428571428569</v>
      </c>
      <c r="CA27" s="1">
        <f t="shared" si="15"/>
        <v>59.285714285714285</v>
      </c>
      <c r="CB27" s="1">
        <f t="shared" si="15"/>
        <v>60</v>
      </c>
      <c r="CC27" s="1">
        <f t="shared" si="15"/>
        <v>60.714285714285715</v>
      </c>
      <c r="CD27" s="1">
        <f t="shared" si="15"/>
        <v>61.428571428571431</v>
      </c>
      <c r="CE27" s="1">
        <f t="shared" si="15"/>
        <v>62.142857142857146</v>
      </c>
      <c r="CF27" s="1">
        <f t="shared" si="15"/>
        <v>62.857142857142854</v>
      </c>
      <c r="CG27" s="1">
        <f t="shared" si="16"/>
        <v>63.571428571428569</v>
      </c>
      <c r="CH27" s="1">
        <f t="shared" si="16"/>
        <v>64.285714285714292</v>
      </c>
      <c r="CI27" s="1">
        <f t="shared" si="16"/>
        <v>65</v>
      </c>
      <c r="CJ27" s="1">
        <f t="shared" si="16"/>
        <v>65.714285714285708</v>
      </c>
      <c r="CK27" s="1">
        <f t="shared" si="16"/>
        <v>66.428571428571431</v>
      </c>
      <c r="CL27" s="1">
        <f t="shared" si="16"/>
        <v>67.142857142857139</v>
      </c>
      <c r="CM27" s="1">
        <f t="shared" si="16"/>
        <v>67.857142857142861</v>
      </c>
      <c r="CN27" s="1">
        <f t="shared" si="16"/>
        <v>68.571428571428569</v>
      </c>
      <c r="CO27" s="1">
        <f t="shared" si="16"/>
        <v>69.285714285714292</v>
      </c>
      <c r="CP27" s="1">
        <f t="shared" si="16"/>
        <v>70</v>
      </c>
      <c r="CQ27" s="1">
        <f t="shared" si="16"/>
        <v>70.714285714285708</v>
      </c>
      <c r="CR27" s="1">
        <f t="shared" si="16"/>
        <v>71.428571428571431</v>
      </c>
      <c r="CS27" s="1">
        <f t="shared" si="16"/>
        <v>72.142857142857139</v>
      </c>
      <c r="CT27" s="1">
        <f t="shared" si="16"/>
        <v>72.857142857142861</v>
      </c>
      <c r="CU27" s="1">
        <f t="shared" si="16"/>
        <v>73.571428571428569</v>
      </c>
      <c r="CV27" s="1">
        <f t="shared" si="16"/>
        <v>74.285714285714292</v>
      </c>
      <c r="CW27" s="1">
        <f t="shared" si="17"/>
        <v>75</v>
      </c>
      <c r="CX27" s="1">
        <f t="shared" si="17"/>
        <v>75.714285714285708</v>
      </c>
      <c r="CY27" s="1">
        <f t="shared" si="17"/>
        <v>76.428571428571431</v>
      </c>
      <c r="CZ27" s="1">
        <f t="shared" si="17"/>
        <v>77.142857142857139</v>
      </c>
      <c r="DA27" s="1">
        <f t="shared" si="17"/>
        <v>77.857142857142861</v>
      </c>
      <c r="DB27" s="1">
        <f t="shared" si="17"/>
        <v>78.571428571428569</v>
      </c>
      <c r="DC27" s="1">
        <f t="shared" si="17"/>
        <v>79.285714285714292</v>
      </c>
      <c r="DD27" s="1">
        <f t="shared" si="17"/>
        <v>80</v>
      </c>
      <c r="DE27" s="1">
        <f t="shared" si="17"/>
        <v>80.714285714285708</v>
      </c>
      <c r="DF27" s="1">
        <f t="shared" si="17"/>
        <v>81.428571428571431</v>
      </c>
      <c r="DG27" s="1">
        <f t="shared" si="17"/>
        <v>82.142857142857139</v>
      </c>
      <c r="DH27" s="1">
        <f t="shared" si="17"/>
        <v>82.857142857142861</v>
      </c>
      <c r="DI27" s="1">
        <f t="shared" si="17"/>
        <v>83.571428571428569</v>
      </c>
      <c r="DJ27" s="1">
        <f t="shared" si="17"/>
        <v>84.285714285714292</v>
      </c>
      <c r="DK27" s="1">
        <f t="shared" si="17"/>
        <v>85</v>
      </c>
      <c r="DL27" s="1">
        <f t="shared" si="17"/>
        <v>85.714285714285708</v>
      </c>
      <c r="DM27" s="1">
        <f t="shared" si="13"/>
        <v>86.428571428571431</v>
      </c>
      <c r="DN27" s="1">
        <f t="shared" si="13"/>
        <v>87.142857142857139</v>
      </c>
      <c r="DO27" s="1">
        <f t="shared" si="13"/>
        <v>87.857142857142861</v>
      </c>
      <c r="DP27" s="1">
        <f t="shared" si="14"/>
        <v>88.571428571428569</v>
      </c>
      <c r="DQ27" s="1">
        <f t="shared" si="14"/>
        <v>89.285714285714292</v>
      </c>
      <c r="DR27" s="1">
        <f t="shared" si="14"/>
        <v>90</v>
      </c>
      <c r="DS27" s="1">
        <f t="shared" si="14"/>
        <v>90.714285714285708</v>
      </c>
    </row>
    <row r="28" spans="1:123" x14ac:dyDescent="0.3">
      <c r="A28" s="95"/>
      <c r="B28" s="14" t="str">
        <f t="shared" si="7"/>
        <v>0x0F</v>
      </c>
      <c r="C28" s="17">
        <f t="shared" si="10"/>
        <v>15</v>
      </c>
      <c r="D28" s="1">
        <f t="shared" si="11"/>
        <v>5.333333333333333</v>
      </c>
      <c r="E28" s="1">
        <f t="shared" si="11"/>
        <v>6</v>
      </c>
      <c r="F28" s="1">
        <f t="shared" si="11"/>
        <v>6.666666666666667</v>
      </c>
      <c r="G28" s="1">
        <f t="shared" si="11"/>
        <v>7.333333333333333</v>
      </c>
      <c r="H28" s="1">
        <f t="shared" si="11"/>
        <v>8</v>
      </c>
      <c r="I28" s="1">
        <f t="shared" si="11"/>
        <v>8.6666666666666661</v>
      </c>
      <c r="J28" s="1">
        <f t="shared" si="11"/>
        <v>9.3333333333333339</v>
      </c>
      <c r="K28" s="1">
        <f t="shared" si="11"/>
        <v>10</v>
      </c>
      <c r="L28" s="1">
        <f t="shared" si="11"/>
        <v>10.666666666666666</v>
      </c>
      <c r="M28" s="1">
        <f t="shared" si="11"/>
        <v>11.333333333333334</v>
      </c>
      <c r="N28" s="1">
        <f t="shared" si="11"/>
        <v>12</v>
      </c>
      <c r="O28" s="1">
        <f t="shared" si="11"/>
        <v>12.666666666666666</v>
      </c>
      <c r="P28" s="1">
        <f t="shared" si="11"/>
        <v>13.333333333333334</v>
      </c>
      <c r="Q28" s="1">
        <f t="shared" si="11"/>
        <v>14</v>
      </c>
      <c r="R28" s="1">
        <f t="shared" si="11"/>
        <v>14.666666666666666</v>
      </c>
      <c r="S28" s="1">
        <f t="shared" si="11"/>
        <v>15.333333333333334</v>
      </c>
      <c r="T28" s="1">
        <f t="shared" si="19"/>
        <v>16</v>
      </c>
      <c r="U28" s="1">
        <f t="shared" si="19"/>
        <v>16.666666666666668</v>
      </c>
      <c r="V28" s="1">
        <f t="shared" si="19"/>
        <v>17.333333333333332</v>
      </c>
      <c r="W28" s="1">
        <f t="shared" si="19"/>
        <v>18</v>
      </c>
      <c r="X28" s="1">
        <f t="shared" si="19"/>
        <v>18.666666666666668</v>
      </c>
      <c r="Y28" s="1">
        <f t="shared" si="19"/>
        <v>19.333333333333332</v>
      </c>
      <c r="Z28" s="1">
        <f t="shared" si="19"/>
        <v>20</v>
      </c>
      <c r="AA28" s="1">
        <f t="shared" si="19"/>
        <v>20.666666666666668</v>
      </c>
      <c r="AB28" s="1">
        <f t="shared" si="19"/>
        <v>21.333333333333332</v>
      </c>
      <c r="AC28" s="1">
        <f t="shared" si="19"/>
        <v>22</v>
      </c>
      <c r="AD28" s="1">
        <f t="shared" si="19"/>
        <v>22.666666666666668</v>
      </c>
      <c r="AE28" s="1">
        <f t="shared" si="19"/>
        <v>23.333333333333332</v>
      </c>
      <c r="AF28" s="1">
        <f t="shared" si="19"/>
        <v>24</v>
      </c>
      <c r="AG28" s="1">
        <f t="shared" si="19"/>
        <v>24.666666666666668</v>
      </c>
      <c r="AH28" s="1">
        <f t="shared" si="19"/>
        <v>25.333333333333332</v>
      </c>
      <c r="AI28" s="1">
        <f t="shared" si="19"/>
        <v>26</v>
      </c>
      <c r="AJ28" s="1">
        <f t="shared" si="20"/>
        <v>26.666666666666668</v>
      </c>
      <c r="AK28" s="1">
        <f t="shared" si="20"/>
        <v>27.333333333333332</v>
      </c>
      <c r="AL28" s="1">
        <f t="shared" si="20"/>
        <v>28</v>
      </c>
      <c r="AM28" s="1">
        <f t="shared" si="20"/>
        <v>28.666666666666668</v>
      </c>
      <c r="AN28" s="1">
        <f t="shared" si="20"/>
        <v>29.333333333333332</v>
      </c>
      <c r="AO28" s="1">
        <f t="shared" si="20"/>
        <v>30</v>
      </c>
      <c r="AP28" s="1">
        <f t="shared" si="20"/>
        <v>30.666666666666668</v>
      </c>
      <c r="AQ28" s="1">
        <f t="shared" si="20"/>
        <v>31.333333333333332</v>
      </c>
      <c r="AR28" s="1">
        <f t="shared" si="20"/>
        <v>32</v>
      </c>
      <c r="AS28" s="1">
        <f t="shared" si="20"/>
        <v>32.666666666666664</v>
      </c>
      <c r="AT28" s="1">
        <f t="shared" si="20"/>
        <v>33.333333333333336</v>
      </c>
      <c r="AU28" s="1">
        <f t="shared" si="20"/>
        <v>34</v>
      </c>
      <c r="AV28" s="1">
        <f t="shared" si="20"/>
        <v>34.666666666666664</v>
      </c>
      <c r="AW28" s="1">
        <f t="shared" si="20"/>
        <v>35.333333333333336</v>
      </c>
      <c r="AX28" s="1">
        <f t="shared" si="20"/>
        <v>36</v>
      </c>
      <c r="AY28" s="1">
        <f t="shared" si="20"/>
        <v>36.666666666666664</v>
      </c>
      <c r="AZ28" s="1">
        <f t="shared" si="21"/>
        <v>37.333333333333336</v>
      </c>
      <c r="BA28" s="1">
        <f t="shared" si="21"/>
        <v>38</v>
      </c>
      <c r="BB28" s="1">
        <f t="shared" si="21"/>
        <v>38.666666666666664</v>
      </c>
      <c r="BC28" s="1">
        <f t="shared" si="21"/>
        <v>39.333333333333336</v>
      </c>
      <c r="BD28" s="1">
        <f t="shared" si="21"/>
        <v>40</v>
      </c>
      <c r="BE28" s="1">
        <f t="shared" si="21"/>
        <v>40.666666666666664</v>
      </c>
      <c r="BF28" s="1">
        <f t="shared" si="21"/>
        <v>41.333333333333336</v>
      </c>
      <c r="BG28" s="1">
        <f t="shared" si="21"/>
        <v>42</v>
      </c>
      <c r="BH28" s="1">
        <f t="shared" si="21"/>
        <v>42.666666666666664</v>
      </c>
      <c r="BI28" s="1">
        <f t="shared" si="21"/>
        <v>43.333333333333336</v>
      </c>
      <c r="BJ28" s="1">
        <f t="shared" si="21"/>
        <v>44</v>
      </c>
      <c r="BK28" s="1">
        <f t="shared" si="21"/>
        <v>44.666666666666664</v>
      </c>
      <c r="BL28" s="1">
        <f t="shared" si="21"/>
        <v>45.333333333333336</v>
      </c>
      <c r="BM28" s="1">
        <f t="shared" si="21"/>
        <v>46</v>
      </c>
      <c r="BN28" s="1">
        <f t="shared" si="21"/>
        <v>46.666666666666664</v>
      </c>
      <c r="BO28" s="1">
        <f t="shared" si="21"/>
        <v>47.333333333333336</v>
      </c>
      <c r="BP28" s="1">
        <f t="shared" si="18"/>
        <v>48</v>
      </c>
      <c r="BQ28" s="1">
        <f t="shared" si="15"/>
        <v>48.666666666666664</v>
      </c>
      <c r="BR28" s="1">
        <f t="shared" si="15"/>
        <v>49.333333333333336</v>
      </c>
      <c r="BS28" s="1">
        <f t="shared" si="15"/>
        <v>50</v>
      </c>
      <c r="BT28" s="1">
        <f t="shared" si="15"/>
        <v>50.666666666666664</v>
      </c>
      <c r="BU28" s="1">
        <f t="shared" si="15"/>
        <v>51.333333333333336</v>
      </c>
      <c r="BV28" s="1">
        <f t="shared" si="15"/>
        <v>52</v>
      </c>
      <c r="BW28" s="1">
        <f t="shared" si="15"/>
        <v>52.666666666666664</v>
      </c>
      <c r="BX28" s="1">
        <f t="shared" si="15"/>
        <v>53.333333333333336</v>
      </c>
      <c r="BY28" s="1">
        <f t="shared" si="15"/>
        <v>54</v>
      </c>
      <c r="BZ28" s="1">
        <f t="shared" si="15"/>
        <v>54.666666666666664</v>
      </c>
      <c r="CA28" s="1">
        <f t="shared" si="15"/>
        <v>55.333333333333336</v>
      </c>
      <c r="CB28" s="1">
        <f t="shared" si="15"/>
        <v>56</v>
      </c>
      <c r="CC28" s="1">
        <f t="shared" si="15"/>
        <v>56.666666666666664</v>
      </c>
      <c r="CD28" s="1">
        <f t="shared" si="15"/>
        <v>57.333333333333336</v>
      </c>
      <c r="CE28" s="1">
        <f t="shared" si="15"/>
        <v>58</v>
      </c>
      <c r="CF28" s="1">
        <f t="shared" si="15"/>
        <v>58.666666666666664</v>
      </c>
      <c r="CG28" s="1">
        <f t="shared" si="16"/>
        <v>59.333333333333336</v>
      </c>
      <c r="CH28" s="1">
        <f t="shared" si="16"/>
        <v>60</v>
      </c>
      <c r="CI28" s="1">
        <f t="shared" si="16"/>
        <v>60.666666666666664</v>
      </c>
      <c r="CJ28" s="1">
        <f t="shared" si="16"/>
        <v>61.333333333333336</v>
      </c>
      <c r="CK28" s="1">
        <f t="shared" si="16"/>
        <v>62</v>
      </c>
      <c r="CL28" s="1">
        <f t="shared" si="16"/>
        <v>62.666666666666664</v>
      </c>
      <c r="CM28" s="1">
        <f t="shared" si="16"/>
        <v>63.333333333333336</v>
      </c>
      <c r="CN28" s="1">
        <f t="shared" si="16"/>
        <v>64</v>
      </c>
      <c r="CO28" s="1">
        <f t="shared" si="16"/>
        <v>64.666666666666671</v>
      </c>
      <c r="CP28" s="1">
        <f t="shared" si="16"/>
        <v>65.333333333333329</v>
      </c>
      <c r="CQ28" s="1">
        <f t="shared" si="16"/>
        <v>66</v>
      </c>
      <c r="CR28" s="1">
        <f t="shared" si="16"/>
        <v>66.666666666666671</v>
      </c>
      <c r="CS28" s="1">
        <f t="shared" si="16"/>
        <v>67.333333333333329</v>
      </c>
      <c r="CT28" s="1">
        <f t="shared" si="16"/>
        <v>68</v>
      </c>
      <c r="CU28" s="1">
        <f t="shared" si="16"/>
        <v>68.666666666666671</v>
      </c>
      <c r="CV28" s="1">
        <f t="shared" si="16"/>
        <v>69.333333333333329</v>
      </c>
      <c r="CW28" s="1">
        <f t="shared" si="17"/>
        <v>70</v>
      </c>
      <c r="CX28" s="1">
        <f t="shared" si="17"/>
        <v>70.666666666666671</v>
      </c>
      <c r="CY28" s="1">
        <f t="shared" si="17"/>
        <v>71.333333333333329</v>
      </c>
      <c r="CZ28" s="1">
        <f t="shared" si="17"/>
        <v>72</v>
      </c>
      <c r="DA28" s="1">
        <f t="shared" si="17"/>
        <v>72.666666666666671</v>
      </c>
      <c r="DB28" s="1">
        <f t="shared" si="17"/>
        <v>73.333333333333329</v>
      </c>
      <c r="DC28" s="1">
        <f t="shared" si="17"/>
        <v>74</v>
      </c>
      <c r="DD28" s="1">
        <f t="shared" si="17"/>
        <v>74.666666666666671</v>
      </c>
      <c r="DE28" s="1">
        <f t="shared" si="17"/>
        <v>75.333333333333329</v>
      </c>
      <c r="DF28" s="1">
        <f t="shared" si="17"/>
        <v>76</v>
      </c>
      <c r="DG28" s="1">
        <f t="shared" si="17"/>
        <v>76.666666666666671</v>
      </c>
      <c r="DH28" s="1">
        <f t="shared" si="17"/>
        <v>77.333333333333329</v>
      </c>
      <c r="DI28" s="1">
        <f t="shared" si="17"/>
        <v>78</v>
      </c>
      <c r="DJ28" s="1">
        <f t="shared" si="17"/>
        <v>78.666666666666671</v>
      </c>
      <c r="DK28" s="1">
        <f t="shared" si="17"/>
        <v>79.333333333333329</v>
      </c>
      <c r="DL28" s="1">
        <f t="shared" si="17"/>
        <v>80</v>
      </c>
      <c r="DM28" s="1">
        <f t="shared" si="13"/>
        <v>80.666666666666671</v>
      </c>
      <c r="DN28" s="1">
        <f t="shared" si="13"/>
        <v>81.333333333333329</v>
      </c>
      <c r="DO28" s="1">
        <f t="shared" si="13"/>
        <v>82</v>
      </c>
      <c r="DP28" s="1">
        <f t="shared" si="14"/>
        <v>82.666666666666671</v>
      </c>
      <c r="DQ28" s="1">
        <f t="shared" si="14"/>
        <v>83.333333333333329</v>
      </c>
      <c r="DR28" s="1">
        <f t="shared" si="14"/>
        <v>84</v>
      </c>
      <c r="DS28" s="1">
        <f t="shared" si="14"/>
        <v>84.666666666666671</v>
      </c>
    </row>
  </sheetData>
  <mergeCells count="7">
    <mergeCell ref="D14:DS14"/>
    <mergeCell ref="A17:A28"/>
    <mergeCell ref="W2:X8"/>
    <mergeCell ref="D1:T1"/>
    <mergeCell ref="A3:B3"/>
    <mergeCell ref="A1:C2"/>
    <mergeCell ref="A4:B4"/>
  </mergeCells>
  <conditionalFormatting sqref="D17:DS28">
    <cfRule type="expression" dxfId="15" priority="2">
      <formula>OR($V$2*D$16*2/$V$3 &lt; $V$5, $V$2*D$16*2/$V$3 &gt; $V$6)</formula>
    </cfRule>
    <cfRule type="expression" dxfId="14" priority="4">
      <formula>OR(D17 &lt; $V$7, D17 &gt; $V$8)</formula>
    </cfRule>
    <cfRule type="expression" dxfId="13" priority="9">
      <formula>D17&gt;$V$4</formula>
    </cfRule>
    <cfRule type="expression" dxfId="12" priority="10">
      <formula>D17=$V$4</formula>
    </cfRule>
  </conditionalFormatting>
  <conditionalFormatting sqref="C4">
    <cfRule type="expression" dxfId="11" priority="3">
      <formula>OR(B7/C4 &lt;#REF!, B7/C4&gt;#REF!)</formula>
    </cfRule>
  </conditionalFormatting>
  <dataValidations count="1">
    <dataValidation type="list" allowBlank="1" showInputMessage="1" showErrorMessage="1" sqref="C4" xr:uid="{00000000-0002-0000-0600-000000000000}">
      <formula1>"1,2,3,4,5,6,7"</formula1>
    </dataValidation>
  </dataValidations>
  <hyperlinks>
    <hyperlink ref="T2" location="PLL0!C11" display="PLL0 reference" xr:uid="{00000000-0004-0000-0600-000000000000}"/>
    <hyperlink ref="T3" location="pll0_phi1!C4" display="PLL0DV[PREDIV]" xr:uid="{00000000-0004-0000-0600-000001000000}"/>
    <hyperlink ref="T4" location="pll0_phi1!C3" display="Requested F(phi)" xr:uid="{00000000-0004-0000-0600-000002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4BC00EDE-8D43-4DE3-BE49-2CCC737A2EAD}">
            <xm:f>OR($V$2/$V$3&lt;Limits!$B$5,$V$2/$V$3&gt;Limits!$B$6)</xm:f>
            <x14:dxf>
              <fill>
                <patternFill>
                  <bgColor rgb="FFFF0000"/>
                </patternFill>
              </fill>
            </x14:dxf>
          </x14:cfRule>
          <xm:sqref>D17:DS28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C6:Y22"/>
  <sheetViews>
    <sheetView zoomScale="87" zoomScaleNormal="87" workbookViewId="0">
      <selection activeCell="R16" sqref="R16"/>
    </sheetView>
  </sheetViews>
  <sheetFormatPr baseColWidth="10" defaultColWidth="8.88671875" defaultRowHeight="14.4" x14ac:dyDescent="0.3"/>
  <sheetData>
    <row r="6" spans="3:25" x14ac:dyDescent="0.3">
      <c r="P6" s="5"/>
      <c r="Q6" t="s">
        <v>12</v>
      </c>
    </row>
    <row r="7" spans="3:25" x14ac:dyDescent="0.3">
      <c r="P7" s="7"/>
      <c r="Q7" t="s">
        <v>68</v>
      </c>
    </row>
    <row r="9" spans="3:25" ht="15" thickBot="1" x14ac:dyDescent="0.35"/>
    <row r="10" spans="3:25" ht="15.6" thickTop="1" thickBot="1" x14ac:dyDescent="0.35">
      <c r="U10" s="49">
        <f>IF(S13=0,0,Q11/(S13))</f>
        <v>360</v>
      </c>
      <c r="Y10" s="49">
        <f>U10/2</f>
        <v>180</v>
      </c>
    </row>
    <row r="11" spans="3:25" ht="15.6" thickTop="1" thickBot="1" x14ac:dyDescent="0.35">
      <c r="C11" s="36">
        <f>IF(Tree!E14=1,Tree!D8,PLL0!S17)</f>
        <v>40</v>
      </c>
      <c r="I11" s="36">
        <f>E12*G13</f>
        <v>720</v>
      </c>
      <c r="Q11" s="36">
        <f>IF(K13=0,I11,I11+(O13/4096))</f>
        <v>720</v>
      </c>
    </row>
    <row r="12" spans="3:25" ht="15.6" thickTop="1" thickBot="1" x14ac:dyDescent="0.35">
      <c r="E12" s="49">
        <f>IF(D21=1,C11,0)</f>
        <v>40</v>
      </c>
    </row>
    <row r="13" spans="3:25" ht="15.6" thickTop="1" thickBot="1" x14ac:dyDescent="0.35">
      <c r="G13" s="56">
        <v>18</v>
      </c>
      <c r="K13" s="56">
        <v>0</v>
      </c>
      <c r="O13" s="56">
        <v>0</v>
      </c>
      <c r="S13" s="56">
        <v>2</v>
      </c>
    </row>
    <row r="14" spans="3:25" ht="15" thickTop="1" x14ac:dyDescent="0.3"/>
    <row r="19" spans="4:4" x14ac:dyDescent="0.3">
      <c r="D19" s="40"/>
    </row>
    <row r="20" spans="4:4" ht="15" thickBot="1" x14ac:dyDescent="0.35"/>
    <row r="21" spans="4:4" ht="15.6" thickTop="1" thickBot="1" x14ac:dyDescent="0.35">
      <c r="D21" s="56">
        <v>1</v>
      </c>
    </row>
    <row r="22" spans="4:4" ht="15" thickTop="1" x14ac:dyDescent="0.3"/>
  </sheetData>
  <conditionalFormatting sqref="Y10">
    <cfRule type="expression" dxfId="9" priority="2">
      <formula>$D$21=0</formula>
    </cfRule>
  </conditionalFormatting>
  <conditionalFormatting sqref="C11">
    <cfRule type="expression" dxfId="8" priority="1">
      <formula>$D$21=0</formula>
    </cfRule>
  </conditionalFormatting>
  <dataValidations count="7">
    <dataValidation type="whole" allowBlank="1" showInputMessage="1" showErrorMessage="1" errorTitle="Invalid PLl1 Multiplier" error="PLL1 multiplier can be any integer between 16 and 34." promptTitle="PLL1 Multiplier Range" prompt="PLL1 multiplier can be any integer between 16 and 34." sqref="G13" xr:uid="{00000000-0002-0000-0700-000000000000}">
      <formula1>16</formula1>
      <formula2>34</formula2>
    </dataValidation>
    <dataValidation type="list" allowBlank="1" showInputMessage="1" showErrorMessage="1" sqref="D21" xr:uid="{00000000-0002-0000-0700-000001000000}">
      <formula1>"0,1"</formula1>
    </dataValidation>
    <dataValidation type="whole" allowBlank="1" showInputMessage="1" showErrorMessage="1" errorTitle="Invalid PLL1_PHI Divider" error="PLL1 RFDPHI can be any integer between 1 and 63." promptTitle="PLL1_PHI Divider Range" prompt="PLL1 RFDPHI can be any integer between 1 and 63." sqref="S13" xr:uid="{00000000-0002-0000-0700-000002000000}">
      <formula1>1</formula1>
      <formula2>63</formula2>
    </dataValidation>
    <dataValidation type="whole" allowBlank="1" showInputMessage="1" showErrorMessage="1" errorTitle="Invalid numerator." error="Please enter an integer between 0 and 4095." promptTitle="Fractional Numerator" prompt="PLLDIG_PLL1FD[FRCDIV]. For a FRCDIV x, the multiply value = Multiplier + FRCDIV/4096. The numerator can be any integer between 0 and 4095." sqref="O13" xr:uid="{00000000-0002-0000-0700-000003000000}">
      <formula1>0</formula1>
      <formula2>4095</formula2>
    </dataValidation>
    <dataValidation allowBlank="1" showInputMessage="1" showErrorMessage="1" promptTitle="PLL1 Input" prompt="PLL1 input must be between 38 and 78 MHz." sqref="C11" xr:uid="{00000000-0002-0000-0700-000004000000}"/>
    <dataValidation allowBlank="1" showInputMessage="1" showErrorMessage="1" promptTitle="PLL1_PHI Limits" prompt="PLL1_PHI must be between 4.76 and 625 MHz and its associated VCO must be between 600 and 1250 MHz." sqref="Y10" xr:uid="{00000000-0002-0000-0700-000005000000}"/>
    <dataValidation type="list" allowBlank="1" showInputMessage="1" showErrorMessage="1" promptTitle="Fractional Divide Enable" prompt="PLLDIG_PLL1FD[FDEN]" sqref="K13" xr:uid="{00000000-0002-0000-0700-000006000000}">
      <formula1>"0,1"</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 id="{961AF71E-2C4D-4BAC-844D-82EBB9C0F603}">
            <xm:f>OR($Y$10*$S$13*2 &lt; pll1_phi!$S$3, $Y$10*$S$13*2 &gt; pll1_phi!$S$4)</xm:f>
            <x14:dxf>
              <fill>
                <patternFill patternType="lightDown">
                  <bgColor rgb="FFFF0000"/>
                </patternFill>
              </fill>
            </x14:dxf>
          </x14:cfRule>
          <xm:sqref>Y10</xm:sqref>
        </x14:conditionalFormatting>
        <x14:conditionalFormatting xmlns:xm="http://schemas.microsoft.com/office/excel/2006/main">
          <x14:cfRule type="expression" priority="29" id="{691D72DF-BF4D-4828-A21E-98CCBEF2D0BA}">
            <xm:f>OR($C$11&lt;Limits!$B$13, $C$11 &gt; Limits!$B$14)</xm:f>
            <x14:dxf>
              <fill>
                <patternFill>
                  <bgColor rgb="FFFF0000"/>
                </patternFill>
              </fill>
              <border>
                <left style="thin">
                  <color auto="1"/>
                </left>
                <right style="thin">
                  <color auto="1"/>
                </right>
                <top style="thin">
                  <color auto="1"/>
                </top>
                <bottom style="thin">
                  <color auto="1"/>
                </bottom>
              </border>
            </x14:dxf>
          </x14:cfRule>
          <xm:sqref>C11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79"/>
  <sheetViews>
    <sheetView zoomScale="80" zoomScaleNormal="80" workbookViewId="0">
      <pane xSplit="3" ySplit="16" topLeftCell="D17" activePane="bottomRight" state="frozen"/>
      <selection pane="topRight" activeCell="D1" sqref="D1"/>
      <selection pane="bottomLeft" activeCell="A17" sqref="A17"/>
      <selection pane="bottomRight" activeCell="G11" sqref="G11"/>
    </sheetView>
  </sheetViews>
  <sheetFormatPr baseColWidth="10" defaultColWidth="8.88671875" defaultRowHeight="14.4" x14ac:dyDescent="0.3"/>
  <cols>
    <col min="3" max="3" width="6.5546875" customWidth="1"/>
    <col min="4" max="4" width="9.109375" customWidth="1"/>
  </cols>
  <sheetData>
    <row r="1" spans="1:23" ht="106.5" customHeight="1" thickTop="1" x14ac:dyDescent="0.3">
      <c r="A1" s="86" t="s">
        <v>54</v>
      </c>
      <c r="B1" s="87"/>
      <c r="C1" s="88"/>
      <c r="D1" s="82" t="s">
        <v>65</v>
      </c>
      <c r="E1" s="101"/>
      <c r="F1" s="101"/>
      <c r="G1" s="101"/>
      <c r="H1" s="101"/>
      <c r="I1" s="101"/>
      <c r="J1" s="101"/>
      <c r="K1" s="101"/>
      <c r="L1" s="101"/>
      <c r="M1" s="101"/>
      <c r="N1" s="101"/>
      <c r="O1" s="101"/>
      <c r="P1" s="101"/>
      <c r="Q1" s="101"/>
      <c r="R1" s="101"/>
      <c r="S1" s="101"/>
      <c r="T1" s="101"/>
      <c r="U1" s="101"/>
      <c r="V1" s="101"/>
      <c r="W1" s="101"/>
    </row>
    <row r="2" spans="1:23" ht="15.75" customHeight="1" thickBot="1" x14ac:dyDescent="0.35">
      <c r="A2" s="89"/>
      <c r="B2" s="90"/>
      <c r="C2" s="91"/>
      <c r="Q2" s="42" t="s">
        <v>17</v>
      </c>
      <c r="S2">
        <f>C3</f>
        <v>200</v>
      </c>
      <c r="T2" s="78" t="s">
        <v>62</v>
      </c>
      <c r="U2" s="96"/>
    </row>
    <row r="3" spans="1:23" ht="15.75" customHeight="1" thickTop="1" thickBot="1" x14ac:dyDescent="0.35">
      <c r="A3" s="104" t="s">
        <v>53</v>
      </c>
      <c r="B3" s="105"/>
      <c r="C3" s="56">
        <v>200</v>
      </c>
      <c r="Q3" t="s">
        <v>4</v>
      </c>
      <c r="S3">
        <f>Limits!$B$15</f>
        <v>600</v>
      </c>
      <c r="T3" s="96"/>
      <c r="U3" s="96"/>
    </row>
    <row r="4" spans="1:23" ht="15" customHeight="1" thickTop="1" x14ac:dyDescent="0.3">
      <c r="Q4" t="s">
        <v>3</v>
      </c>
      <c r="S4">
        <f>Limits!$B$16</f>
        <v>1250</v>
      </c>
      <c r="T4" s="96"/>
      <c r="U4" s="96"/>
    </row>
    <row r="5" spans="1:23" ht="15" customHeight="1" x14ac:dyDescent="0.3">
      <c r="Q5" t="s">
        <v>14</v>
      </c>
      <c r="S5">
        <f>Limits!B11</f>
        <v>20</v>
      </c>
      <c r="T5" s="96"/>
      <c r="U5" s="96"/>
    </row>
    <row r="6" spans="1:23" ht="15" customHeight="1" x14ac:dyDescent="0.3">
      <c r="Q6" t="s">
        <v>15</v>
      </c>
      <c r="S6">
        <f>Limits!B12</f>
        <v>156</v>
      </c>
      <c r="T6" s="96"/>
      <c r="U6" s="96"/>
    </row>
    <row r="7" spans="1:23" ht="15" customHeight="1" x14ac:dyDescent="0.3">
      <c r="T7" s="96"/>
      <c r="U7" s="96"/>
    </row>
    <row r="8" spans="1:23" ht="15" customHeight="1" x14ac:dyDescent="0.3">
      <c r="T8" s="96"/>
      <c r="U8" s="96"/>
    </row>
    <row r="9" spans="1:23" ht="15" thickBot="1" x14ac:dyDescent="0.35"/>
    <row r="10" spans="1:23" ht="15" thickBot="1" x14ac:dyDescent="0.35">
      <c r="D10" s="102" t="s">
        <v>0</v>
      </c>
      <c r="E10" s="103"/>
      <c r="F10" s="41">
        <f>IF(Tree!E14=1,Tree!B22,Tree!G17)</f>
        <v>40</v>
      </c>
      <c r="N10" s="5"/>
      <c r="O10" t="s">
        <v>12</v>
      </c>
    </row>
    <row r="11" spans="1:23" ht="15" thickBot="1" x14ac:dyDescent="0.35">
      <c r="N11" s="7"/>
      <c r="O11" t="s">
        <v>69</v>
      </c>
    </row>
    <row r="12" spans="1:23" ht="15.6" thickTop="1" thickBot="1" x14ac:dyDescent="0.35">
      <c r="D12" s="102" t="s">
        <v>16</v>
      </c>
      <c r="E12" s="103"/>
      <c r="F12" s="56">
        <v>0</v>
      </c>
      <c r="N12" s="6"/>
      <c r="O12" t="s">
        <v>20</v>
      </c>
    </row>
    <row r="13" spans="1:23" x14ac:dyDescent="0.3">
      <c r="N13" s="18"/>
      <c r="O13" t="s">
        <v>19</v>
      </c>
    </row>
    <row r="14" spans="1:23" x14ac:dyDescent="0.3">
      <c r="D14" s="98" t="s">
        <v>1</v>
      </c>
      <c r="E14" s="99"/>
      <c r="F14" s="99"/>
      <c r="G14" s="99"/>
      <c r="H14" s="99"/>
      <c r="I14" s="99"/>
      <c r="J14" s="99"/>
      <c r="K14" s="99"/>
      <c r="L14" s="99"/>
      <c r="M14" s="99"/>
      <c r="N14" s="99"/>
      <c r="O14" s="99"/>
      <c r="P14" s="99"/>
      <c r="Q14" s="99"/>
      <c r="R14" s="99"/>
      <c r="S14" s="99"/>
      <c r="T14" s="99"/>
      <c r="U14" s="99"/>
      <c r="V14" s="100"/>
    </row>
    <row r="15" spans="1:23" x14ac:dyDescent="0.3">
      <c r="D15" s="16" t="str">
        <f t="shared" ref="D15:V15" si="0">"0x"&amp;DEC2HEX(D16,2)</f>
        <v>0x10</v>
      </c>
      <c r="E15" s="16" t="str">
        <f t="shared" si="0"/>
        <v>0x11</v>
      </c>
      <c r="F15" s="16" t="str">
        <f t="shared" si="0"/>
        <v>0x12</v>
      </c>
      <c r="G15" s="16" t="str">
        <f t="shared" si="0"/>
        <v>0x13</v>
      </c>
      <c r="H15" s="16" t="str">
        <f t="shared" si="0"/>
        <v>0x14</v>
      </c>
      <c r="I15" s="16" t="str">
        <f t="shared" si="0"/>
        <v>0x15</v>
      </c>
      <c r="J15" s="16" t="str">
        <f t="shared" si="0"/>
        <v>0x16</v>
      </c>
      <c r="K15" s="16" t="str">
        <f t="shared" si="0"/>
        <v>0x17</v>
      </c>
      <c r="L15" s="16" t="str">
        <f t="shared" si="0"/>
        <v>0x18</v>
      </c>
      <c r="M15" s="16" t="str">
        <f t="shared" si="0"/>
        <v>0x19</v>
      </c>
      <c r="N15" s="16" t="str">
        <f t="shared" si="0"/>
        <v>0x1A</v>
      </c>
      <c r="O15" s="16" t="str">
        <f t="shared" si="0"/>
        <v>0x1B</v>
      </c>
      <c r="P15" s="16" t="str">
        <f t="shared" si="0"/>
        <v>0x1C</v>
      </c>
      <c r="Q15" s="16" t="str">
        <f t="shared" si="0"/>
        <v>0x1D</v>
      </c>
      <c r="R15" s="16" t="str">
        <f t="shared" si="0"/>
        <v>0x1E</v>
      </c>
      <c r="S15" s="16" t="str">
        <f t="shared" si="0"/>
        <v>0x1F</v>
      </c>
      <c r="T15" s="16" t="str">
        <f t="shared" si="0"/>
        <v>0x20</v>
      </c>
      <c r="U15" s="16" t="str">
        <f t="shared" si="0"/>
        <v>0x21</v>
      </c>
      <c r="V15" s="16" t="str">
        <f t="shared" si="0"/>
        <v>0x22</v>
      </c>
    </row>
    <row r="16" spans="1:23" x14ac:dyDescent="0.3">
      <c r="D16" s="17">
        <v>16</v>
      </c>
      <c r="E16" s="17">
        <f>D16+1</f>
        <v>17</v>
      </c>
      <c r="F16" s="17">
        <f t="shared" ref="F16:V16" si="1">E16+1</f>
        <v>18</v>
      </c>
      <c r="G16" s="17">
        <f t="shared" si="1"/>
        <v>19</v>
      </c>
      <c r="H16" s="17">
        <f t="shared" si="1"/>
        <v>20</v>
      </c>
      <c r="I16" s="17">
        <f t="shared" si="1"/>
        <v>21</v>
      </c>
      <c r="J16" s="17">
        <f t="shared" si="1"/>
        <v>22</v>
      </c>
      <c r="K16" s="17">
        <f t="shared" si="1"/>
        <v>23</v>
      </c>
      <c r="L16" s="17">
        <f t="shared" si="1"/>
        <v>24</v>
      </c>
      <c r="M16" s="17">
        <f t="shared" si="1"/>
        <v>25</v>
      </c>
      <c r="N16" s="17">
        <f t="shared" si="1"/>
        <v>26</v>
      </c>
      <c r="O16" s="17">
        <f t="shared" si="1"/>
        <v>27</v>
      </c>
      <c r="P16" s="17">
        <f t="shared" si="1"/>
        <v>28</v>
      </c>
      <c r="Q16" s="17">
        <f t="shared" si="1"/>
        <v>29</v>
      </c>
      <c r="R16" s="17">
        <f t="shared" si="1"/>
        <v>30</v>
      </c>
      <c r="S16" s="17">
        <f t="shared" si="1"/>
        <v>31</v>
      </c>
      <c r="T16" s="17">
        <f t="shared" si="1"/>
        <v>32</v>
      </c>
      <c r="U16" s="17">
        <f t="shared" si="1"/>
        <v>33</v>
      </c>
      <c r="V16" s="17">
        <f t="shared" si="1"/>
        <v>34</v>
      </c>
    </row>
    <row r="17" spans="1:24" ht="15" customHeight="1" x14ac:dyDescent="0.3">
      <c r="A17" s="80" t="s">
        <v>41</v>
      </c>
      <c r="B17" s="13" t="str">
        <f t="shared" ref="B17:B47" si="2">"0x"&amp;DEC2HEX(C17,2)</f>
        <v>0x01</v>
      </c>
      <c r="C17" s="17">
        <v>1</v>
      </c>
      <c r="D17" s="1">
        <f>($F$10*(D$16 + ($F$12/ POWER(2,12) ) ) ) /($C17*2)</f>
        <v>320</v>
      </c>
      <c r="E17" s="1">
        <f t="shared" ref="E17:V31" si="3">($F$10*(E$16 + ($F$12/ POWER(2,12) ) ) ) /($C17*2)</f>
        <v>340</v>
      </c>
      <c r="F17" s="1">
        <f t="shared" si="3"/>
        <v>360</v>
      </c>
      <c r="G17" s="1">
        <f t="shared" si="3"/>
        <v>380</v>
      </c>
      <c r="H17" s="1">
        <f t="shared" si="3"/>
        <v>400</v>
      </c>
      <c r="I17" s="1">
        <f t="shared" si="3"/>
        <v>420</v>
      </c>
      <c r="J17" s="1">
        <f t="shared" si="3"/>
        <v>440</v>
      </c>
      <c r="K17" s="1">
        <f t="shared" si="3"/>
        <v>460</v>
      </c>
      <c r="L17" s="1">
        <f t="shared" si="3"/>
        <v>480</v>
      </c>
      <c r="M17" s="1">
        <f t="shared" si="3"/>
        <v>500</v>
      </c>
      <c r="N17" s="1">
        <f t="shared" si="3"/>
        <v>520</v>
      </c>
      <c r="O17" s="1">
        <f t="shared" si="3"/>
        <v>540</v>
      </c>
      <c r="P17" s="1">
        <f t="shared" si="3"/>
        <v>560</v>
      </c>
      <c r="Q17" s="1">
        <f t="shared" si="3"/>
        <v>580</v>
      </c>
      <c r="R17" s="1">
        <f t="shared" si="3"/>
        <v>600</v>
      </c>
      <c r="S17" s="1">
        <f t="shared" si="3"/>
        <v>620</v>
      </c>
      <c r="T17" s="1">
        <f t="shared" si="3"/>
        <v>640</v>
      </c>
      <c r="U17" s="1">
        <f t="shared" si="3"/>
        <v>660</v>
      </c>
      <c r="V17" s="1">
        <f t="shared" si="3"/>
        <v>680</v>
      </c>
      <c r="X17" s="9"/>
    </row>
    <row r="18" spans="1:24" x14ac:dyDescent="0.3">
      <c r="A18" s="81"/>
      <c r="B18" s="13" t="str">
        <f t="shared" si="2"/>
        <v>0x02</v>
      </c>
      <c r="C18" s="17">
        <f>C17+1</f>
        <v>2</v>
      </c>
      <c r="D18" s="1">
        <f t="shared" ref="D18:S79" si="4">($F$10*(D$16 + ($F$12/ POWER(2,12) ) ) ) /($C18*2)</f>
        <v>160</v>
      </c>
      <c r="E18" s="1">
        <f t="shared" si="4"/>
        <v>170</v>
      </c>
      <c r="F18" s="1">
        <f t="shared" si="4"/>
        <v>180</v>
      </c>
      <c r="G18" s="1">
        <f t="shared" si="4"/>
        <v>190</v>
      </c>
      <c r="H18" s="1">
        <f t="shared" si="4"/>
        <v>200</v>
      </c>
      <c r="I18" s="1">
        <f t="shared" si="4"/>
        <v>210</v>
      </c>
      <c r="J18" s="1">
        <f t="shared" si="4"/>
        <v>220</v>
      </c>
      <c r="K18" s="1">
        <f t="shared" si="4"/>
        <v>230</v>
      </c>
      <c r="L18" s="1">
        <f t="shared" si="4"/>
        <v>240</v>
      </c>
      <c r="M18" s="1">
        <f t="shared" si="4"/>
        <v>250</v>
      </c>
      <c r="N18" s="1">
        <f t="shared" si="4"/>
        <v>260</v>
      </c>
      <c r="O18" s="1">
        <f t="shared" si="4"/>
        <v>270</v>
      </c>
      <c r="P18" s="1">
        <f t="shared" si="4"/>
        <v>280</v>
      </c>
      <c r="Q18" s="1">
        <f t="shared" si="4"/>
        <v>290</v>
      </c>
      <c r="R18" s="1">
        <f t="shared" si="4"/>
        <v>300</v>
      </c>
      <c r="S18" s="1">
        <f t="shared" si="4"/>
        <v>310</v>
      </c>
      <c r="T18" s="1">
        <f t="shared" si="3"/>
        <v>320</v>
      </c>
      <c r="U18" s="1">
        <f t="shared" si="3"/>
        <v>330</v>
      </c>
      <c r="V18" s="1">
        <f t="shared" si="3"/>
        <v>340</v>
      </c>
    </row>
    <row r="19" spans="1:24" x14ac:dyDescent="0.3">
      <c r="A19" s="81"/>
      <c r="B19" s="13" t="str">
        <f t="shared" si="2"/>
        <v>0x03</v>
      </c>
      <c r="C19" s="17">
        <f t="shared" ref="C19:C79" si="5">C18+1</f>
        <v>3</v>
      </c>
      <c r="D19" s="1">
        <f t="shared" si="4"/>
        <v>106.66666666666667</v>
      </c>
      <c r="E19" s="1">
        <f t="shared" si="3"/>
        <v>113.33333333333333</v>
      </c>
      <c r="F19" s="1">
        <f t="shared" si="3"/>
        <v>120</v>
      </c>
      <c r="G19" s="1">
        <f t="shared" si="3"/>
        <v>126.66666666666667</v>
      </c>
      <c r="H19" s="1">
        <f t="shared" si="3"/>
        <v>133.33333333333334</v>
      </c>
      <c r="I19" s="1">
        <f t="shared" si="3"/>
        <v>140</v>
      </c>
      <c r="J19" s="1">
        <f t="shared" si="3"/>
        <v>146.66666666666666</v>
      </c>
      <c r="K19" s="1">
        <f t="shared" si="3"/>
        <v>153.33333333333334</v>
      </c>
      <c r="L19" s="1">
        <f t="shared" si="3"/>
        <v>160</v>
      </c>
      <c r="M19" s="1">
        <f t="shared" si="3"/>
        <v>166.66666666666666</v>
      </c>
      <c r="N19" s="1">
        <f t="shared" si="3"/>
        <v>173.33333333333334</v>
      </c>
      <c r="O19" s="1">
        <f t="shared" si="3"/>
        <v>180</v>
      </c>
      <c r="P19" s="1">
        <f t="shared" si="3"/>
        <v>186.66666666666666</v>
      </c>
      <c r="Q19" s="1">
        <f t="shared" si="3"/>
        <v>193.33333333333334</v>
      </c>
      <c r="R19" s="1">
        <f t="shared" si="3"/>
        <v>200</v>
      </c>
      <c r="S19" s="1">
        <f t="shared" si="3"/>
        <v>206.66666666666666</v>
      </c>
      <c r="T19" s="1">
        <f t="shared" si="3"/>
        <v>213.33333333333334</v>
      </c>
      <c r="U19" s="1">
        <f t="shared" si="3"/>
        <v>220</v>
      </c>
      <c r="V19" s="1">
        <f t="shared" si="3"/>
        <v>226.66666666666666</v>
      </c>
    </row>
    <row r="20" spans="1:24" x14ac:dyDescent="0.3">
      <c r="A20" s="81"/>
      <c r="B20" s="13" t="str">
        <f t="shared" si="2"/>
        <v>0x04</v>
      </c>
      <c r="C20" s="17">
        <f t="shared" si="5"/>
        <v>4</v>
      </c>
      <c r="D20" s="1">
        <f t="shared" si="4"/>
        <v>80</v>
      </c>
      <c r="E20" s="1">
        <f t="shared" si="3"/>
        <v>85</v>
      </c>
      <c r="F20" s="1">
        <f t="shared" si="3"/>
        <v>90</v>
      </c>
      <c r="G20" s="1">
        <f t="shared" si="3"/>
        <v>95</v>
      </c>
      <c r="H20" s="1">
        <f t="shared" si="3"/>
        <v>100</v>
      </c>
      <c r="I20" s="1">
        <f t="shared" si="3"/>
        <v>105</v>
      </c>
      <c r="J20" s="1">
        <f t="shared" si="3"/>
        <v>110</v>
      </c>
      <c r="K20" s="1">
        <f t="shared" si="3"/>
        <v>115</v>
      </c>
      <c r="L20" s="1">
        <f t="shared" si="3"/>
        <v>120</v>
      </c>
      <c r="M20" s="1">
        <f t="shared" si="3"/>
        <v>125</v>
      </c>
      <c r="N20" s="1">
        <f t="shared" si="3"/>
        <v>130</v>
      </c>
      <c r="O20" s="1">
        <f t="shared" si="3"/>
        <v>135</v>
      </c>
      <c r="P20" s="1">
        <f t="shared" si="3"/>
        <v>140</v>
      </c>
      <c r="Q20" s="1">
        <f t="shared" si="3"/>
        <v>145</v>
      </c>
      <c r="R20" s="1">
        <f t="shared" si="3"/>
        <v>150</v>
      </c>
      <c r="S20" s="1">
        <f t="shared" si="3"/>
        <v>155</v>
      </c>
      <c r="T20" s="1">
        <f t="shared" si="3"/>
        <v>160</v>
      </c>
      <c r="U20" s="1">
        <f t="shared" si="3"/>
        <v>165</v>
      </c>
      <c r="V20" s="1">
        <f t="shared" si="3"/>
        <v>170</v>
      </c>
    </row>
    <row r="21" spans="1:24" x14ac:dyDescent="0.3">
      <c r="A21" s="81"/>
      <c r="B21" s="13" t="str">
        <f t="shared" si="2"/>
        <v>0x05</v>
      </c>
      <c r="C21" s="17">
        <f t="shared" si="5"/>
        <v>5</v>
      </c>
      <c r="D21" s="1">
        <f t="shared" si="4"/>
        <v>64</v>
      </c>
      <c r="E21" s="1">
        <f t="shared" si="3"/>
        <v>68</v>
      </c>
      <c r="F21" s="1">
        <f t="shared" si="3"/>
        <v>72</v>
      </c>
      <c r="G21" s="1">
        <f t="shared" si="3"/>
        <v>76</v>
      </c>
      <c r="H21" s="1">
        <f t="shared" si="3"/>
        <v>80</v>
      </c>
      <c r="I21" s="1">
        <f t="shared" si="3"/>
        <v>84</v>
      </c>
      <c r="J21" s="1">
        <f t="shared" si="3"/>
        <v>88</v>
      </c>
      <c r="K21" s="1">
        <f t="shared" si="3"/>
        <v>92</v>
      </c>
      <c r="L21" s="1">
        <f t="shared" si="3"/>
        <v>96</v>
      </c>
      <c r="M21" s="1">
        <f t="shared" si="3"/>
        <v>100</v>
      </c>
      <c r="N21" s="1">
        <f t="shared" si="3"/>
        <v>104</v>
      </c>
      <c r="O21" s="1">
        <f t="shared" si="3"/>
        <v>108</v>
      </c>
      <c r="P21" s="1">
        <f t="shared" si="3"/>
        <v>112</v>
      </c>
      <c r="Q21" s="1">
        <f t="shared" si="3"/>
        <v>116</v>
      </c>
      <c r="R21" s="1">
        <f t="shared" si="3"/>
        <v>120</v>
      </c>
      <c r="S21" s="1">
        <f t="shared" si="3"/>
        <v>124</v>
      </c>
      <c r="T21" s="1">
        <f t="shared" si="3"/>
        <v>128</v>
      </c>
      <c r="U21" s="1">
        <f t="shared" si="3"/>
        <v>132</v>
      </c>
      <c r="V21" s="1">
        <f t="shared" si="3"/>
        <v>136</v>
      </c>
    </row>
    <row r="22" spans="1:24" x14ac:dyDescent="0.3">
      <c r="A22" s="81"/>
      <c r="B22" s="13" t="str">
        <f t="shared" si="2"/>
        <v>0x06</v>
      </c>
      <c r="C22" s="17">
        <f t="shared" si="5"/>
        <v>6</v>
      </c>
      <c r="D22" s="1">
        <f t="shared" si="4"/>
        <v>53.333333333333336</v>
      </c>
      <c r="E22" s="1">
        <f t="shared" si="3"/>
        <v>56.666666666666664</v>
      </c>
      <c r="F22" s="1">
        <f t="shared" si="3"/>
        <v>60</v>
      </c>
      <c r="G22" s="1">
        <f t="shared" si="3"/>
        <v>63.333333333333336</v>
      </c>
      <c r="H22" s="1">
        <f t="shared" si="3"/>
        <v>66.666666666666671</v>
      </c>
      <c r="I22" s="1">
        <f t="shared" si="3"/>
        <v>70</v>
      </c>
      <c r="J22" s="1">
        <f t="shared" si="3"/>
        <v>73.333333333333329</v>
      </c>
      <c r="K22" s="1">
        <f t="shared" si="3"/>
        <v>76.666666666666671</v>
      </c>
      <c r="L22" s="1">
        <f t="shared" si="3"/>
        <v>80</v>
      </c>
      <c r="M22" s="1">
        <f t="shared" si="3"/>
        <v>83.333333333333329</v>
      </c>
      <c r="N22" s="1">
        <f t="shared" si="3"/>
        <v>86.666666666666671</v>
      </c>
      <c r="O22" s="1">
        <f t="shared" si="3"/>
        <v>90</v>
      </c>
      <c r="P22" s="1">
        <f t="shared" si="3"/>
        <v>93.333333333333329</v>
      </c>
      <c r="Q22" s="1">
        <f t="shared" si="3"/>
        <v>96.666666666666671</v>
      </c>
      <c r="R22" s="1">
        <f t="shared" si="3"/>
        <v>100</v>
      </c>
      <c r="S22" s="1">
        <f t="shared" si="3"/>
        <v>103.33333333333333</v>
      </c>
      <c r="T22" s="1">
        <f t="shared" si="3"/>
        <v>106.66666666666667</v>
      </c>
      <c r="U22" s="1">
        <f t="shared" si="3"/>
        <v>110</v>
      </c>
      <c r="V22" s="1">
        <f t="shared" si="3"/>
        <v>113.33333333333333</v>
      </c>
    </row>
    <row r="23" spans="1:24" x14ac:dyDescent="0.3">
      <c r="A23" s="81"/>
      <c r="B23" s="13" t="str">
        <f t="shared" si="2"/>
        <v>0x07</v>
      </c>
      <c r="C23" s="17">
        <f t="shared" si="5"/>
        <v>7</v>
      </c>
      <c r="D23" s="1">
        <f t="shared" si="4"/>
        <v>45.714285714285715</v>
      </c>
      <c r="E23" s="1">
        <f t="shared" si="3"/>
        <v>48.571428571428569</v>
      </c>
      <c r="F23" s="1">
        <f t="shared" si="3"/>
        <v>51.428571428571431</v>
      </c>
      <c r="G23" s="1">
        <f t="shared" si="3"/>
        <v>54.285714285714285</v>
      </c>
      <c r="H23" s="1">
        <f t="shared" si="3"/>
        <v>57.142857142857146</v>
      </c>
      <c r="I23" s="1">
        <f t="shared" si="3"/>
        <v>60</v>
      </c>
      <c r="J23" s="1">
        <f t="shared" si="3"/>
        <v>62.857142857142854</v>
      </c>
      <c r="K23" s="1">
        <f t="shared" si="3"/>
        <v>65.714285714285708</v>
      </c>
      <c r="L23" s="1">
        <f t="shared" si="3"/>
        <v>68.571428571428569</v>
      </c>
      <c r="M23" s="1">
        <f t="shared" si="3"/>
        <v>71.428571428571431</v>
      </c>
      <c r="N23" s="1">
        <f t="shared" si="3"/>
        <v>74.285714285714292</v>
      </c>
      <c r="O23" s="1">
        <f t="shared" si="3"/>
        <v>77.142857142857139</v>
      </c>
      <c r="P23" s="1">
        <f t="shared" si="3"/>
        <v>80</v>
      </c>
      <c r="Q23" s="1">
        <f t="shared" si="3"/>
        <v>82.857142857142861</v>
      </c>
      <c r="R23" s="1">
        <f t="shared" si="3"/>
        <v>85.714285714285708</v>
      </c>
      <c r="S23" s="1">
        <f t="shared" si="3"/>
        <v>88.571428571428569</v>
      </c>
      <c r="T23" s="1">
        <f t="shared" si="3"/>
        <v>91.428571428571431</v>
      </c>
      <c r="U23" s="1">
        <f t="shared" si="3"/>
        <v>94.285714285714292</v>
      </c>
      <c r="V23" s="1">
        <f t="shared" si="3"/>
        <v>97.142857142857139</v>
      </c>
    </row>
    <row r="24" spans="1:24" x14ac:dyDescent="0.3">
      <c r="A24" s="81"/>
      <c r="B24" s="13" t="str">
        <f t="shared" si="2"/>
        <v>0x08</v>
      </c>
      <c r="C24" s="17">
        <f t="shared" si="5"/>
        <v>8</v>
      </c>
      <c r="D24" s="1">
        <f t="shared" si="4"/>
        <v>40</v>
      </c>
      <c r="E24" s="1">
        <f t="shared" si="3"/>
        <v>42.5</v>
      </c>
      <c r="F24" s="1">
        <f t="shared" si="3"/>
        <v>45</v>
      </c>
      <c r="G24" s="1">
        <f t="shared" si="3"/>
        <v>47.5</v>
      </c>
      <c r="H24" s="1">
        <f t="shared" si="3"/>
        <v>50</v>
      </c>
      <c r="I24" s="1">
        <f t="shared" si="3"/>
        <v>52.5</v>
      </c>
      <c r="J24" s="1">
        <f t="shared" si="3"/>
        <v>55</v>
      </c>
      <c r="K24" s="1">
        <f t="shared" si="3"/>
        <v>57.5</v>
      </c>
      <c r="L24" s="1">
        <f t="shared" si="3"/>
        <v>60</v>
      </c>
      <c r="M24" s="1">
        <f t="shared" si="3"/>
        <v>62.5</v>
      </c>
      <c r="N24" s="1">
        <f t="shared" si="3"/>
        <v>65</v>
      </c>
      <c r="O24" s="1">
        <f t="shared" si="3"/>
        <v>67.5</v>
      </c>
      <c r="P24" s="1">
        <f t="shared" si="3"/>
        <v>70</v>
      </c>
      <c r="Q24" s="1">
        <f t="shared" si="3"/>
        <v>72.5</v>
      </c>
      <c r="R24" s="1">
        <f t="shared" si="3"/>
        <v>75</v>
      </c>
      <c r="S24" s="1">
        <f t="shared" si="3"/>
        <v>77.5</v>
      </c>
      <c r="T24" s="1">
        <f t="shared" si="3"/>
        <v>80</v>
      </c>
      <c r="U24" s="1">
        <f t="shared" si="3"/>
        <v>82.5</v>
      </c>
      <c r="V24" s="1">
        <f t="shared" si="3"/>
        <v>85</v>
      </c>
    </row>
    <row r="25" spans="1:24" x14ac:dyDescent="0.3">
      <c r="A25" s="81"/>
      <c r="B25" s="13" t="str">
        <f t="shared" si="2"/>
        <v>0x09</v>
      </c>
      <c r="C25" s="17">
        <f t="shared" si="5"/>
        <v>9</v>
      </c>
      <c r="D25" s="1">
        <f t="shared" si="4"/>
        <v>35.555555555555557</v>
      </c>
      <c r="E25" s="1">
        <f t="shared" si="3"/>
        <v>37.777777777777779</v>
      </c>
      <c r="F25" s="1">
        <f t="shared" si="3"/>
        <v>40</v>
      </c>
      <c r="G25" s="1">
        <f t="shared" si="3"/>
        <v>42.222222222222221</v>
      </c>
      <c r="H25" s="1">
        <f t="shared" si="3"/>
        <v>44.444444444444443</v>
      </c>
      <c r="I25" s="1">
        <f t="shared" si="3"/>
        <v>46.666666666666664</v>
      </c>
      <c r="J25" s="1">
        <f t="shared" si="3"/>
        <v>48.888888888888886</v>
      </c>
      <c r="K25" s="1">
        <f t="shared" si="3"/>
        <v>51.111111111111114</v>
      </c>
      <c r="L25" s="1">
        <f t="shared" si="3"/>
        <v>53.333333333333336</v>
      </c>
      <c r="M25" s="1">
        <f t="shared" si="3"/>
        <v>55.555555555555557</v>
      </c>
      <c r="N25" s="1">
        <f t="shared" si="3"/>
        <v>57.777777777777779</v>
      </c>
      <c r="O25" s="1">
        <f t="shared" si="3"/>
        <v>60</v>
      </c>
      <c r="P25" s="1">
        <f t="shared" si="3"/>
        <v>62.222222222222221</v>
      </c>
      <c r="Q25" s="1">
        <f t="shared" si="3"/>
        <v>64.444444444444443</v>
      </c>
      <c r="R25" s="1">
        <f t="shared" si="3"/>
        <v>66.666666666666671</v>
      </c>
      <c r="S25" s="1">
        <f t="shared" si="3"/>
        <v>68.888888888888886</v>
      </c>
      <c r="T25" s="1">
        <f t="shared" si="3"/>
        <v>71.111111111111114</v>
      </c>
      <c r="U25" s="1">
        <f t="shared" si="3"/>
        <v>73.333333333333329</v>
      </c>
      <c r="V25" s="1">
        <f t="shared" si="3"/>
        <v>75.555555555555557</v>
      </c>
    </row>
    <row r="26" spans="1:24" x14ac:dyDescent="0.3">
      <c r="A26" s="81"/>
      <c r="B26" s="13" t="str">
        <f t="shared" si="2"/>
        <v>0x0A</v>
      </c>
      <c r="C26" s="17">
        <f t="shared" si="5"/>
        <v>10</v>
      </c>
      <c r="D26" s="1">
        <f t="shared" si="4"/>
        <v>32</v>
      </c>
      <c r="E26" s="1">
        <f t="shared" si="3"/>
        <v>34</v>
      </c>
      <c r="F26" s="1">
        <f t="shared" si="3"/>
        <v>36</v>
      </c>
      <c r="G26" s="1">
        <f t="shared" si="3"/>
        <v>38</v>
      </c>
      <c r="H26" s="1">
        <f t="shared" si="3"/>
        <v>40</v>
      </c>
      <c r="I26" s="1">
        <f t="shared" si="3"/>
        <v>42</v>
      </c>
      <c r="J26" s="1">
        <f t="shared" si="3"/>
        <v>44</v>
      </c>
      <c r="K26" s="1">
        <f t="shared" si="3"/>
        <v>46</v>
      </c>
      <c r="L26" s="1">
        <f t="shared" si="3"/>
        <v>48</v>
      </c>
      <c r="M26" s="1">
        <f t="shared" si="3"/>
        <v>50</v>
      </c>
      <c r="N26" s="1">
        <f t="shared" si="3"/>
        <v>52</v>
      </c>
      <c r="O26" s="1">
        <f t="shared" si="3"/>
        <v>54</v>
      </c>
      <c r="P26" s="1">
        <f t="shared" si="3"/>
        <v>56</v>
      </c>
      <c r="Q26" s="1">
        <f t="shared" si="3"/>
        <v>58</v>
      </c>
      <c r="R26" s="1">
        <f t="shared" si="3"/>
        <v>60</v>
      </c>
      <c r="S26" s="1">
        <f t="shared" si="3"/>
        <v>62</v>
      </c>
      <c r="T26" s="1">
        <f t="shared" si="3"/>
        <v>64</v>
      </c>
      <c r="U26" s="1">
        <f t="shared" si="3"/>
        <v>66</v>
      </c>
      <c r="V26" s="1">
        <f t="shared" si="3"/>
        <v>68</v>
      </c>
    </row>
    <row r="27" spans="1:24" x14ac:dyDescent="0.3">
      <c r="A27" s="81"/>
      <c r="B27" s="13" t="str">
        <f t="shared" si="2"/>
        <v>0x0B</v>
      </c>
      <c r="C27" s="17">
        <f t="shared" si="5"/>
        <v>11</v>
      </c>
      <c r="D27" s="1">
        <f t="shared" si="4"/>
        <v>29.09090909090909</v>
      </c>
      <c r="E27" s="1">
        <f t="shared" si="3"/>
        <v>30.90909090909091</v>
      </c>
      <c r="F27" s="1">
        <f t="shared" si="3"/>
        <v>32.727272727272727</v>
      </c>
      <c r="G27" s="1">
        <f t="shared" si="3"/>
        <v>34.545454545454547</v>
      </c>
      <c r="H27" s="1">
        <f t="shared" si="3"/>
        <v>36.363636363636367</v>
      </c>
      <c r="I27" s="1">
        <f t="shared" si="3"/>
        <v>38.18181818181818</v>
      </c>
      <c r="J27" s="1">
        <f t="shared" si="3"/>
        <v>40</v>
      </c>
      <c r="K27" s="1">
        <f t="shared" si="3"/>
        <v>41.81818181818182</v>
      </c>
      <c r="L27" s="1">
        <f t="shared" si="3"/>
        <v>43.636363636363633</v>
      </c>
      <c r="M27" s="1">
        <f t="shared" si="3"/>
        <v>45.454545454545453</v>
      </c>
      <c r="N27" s="1">
        <f t="shared" si="3"/>
        <v>47.272727272727273</v>
      </c>
      <c r="O27" s="1">
        <f t="shared" si="3"/>
        <v>49.090909090909093</v>
      </c>
      <c r="P27" s="1">
        <f t="shared" si="3"/>
        <v>50.909090909090907</v>
      </c>
      <c r="Q27" s="1">
        <f t="shared" si="3"/>
        <v>52.727272727272727</v>
      </c>
      <c r="R27" s="1">
        <f t="shared" si="3"/>
        <v>54.545454545454547</v>
      </c>
      <c r="S27" s="1">
        <f t="shared" si="3"/>
        <v>56.363636363636367</v>
      </c>
      <c r="T27" s="1">
        <f t="shared" si="3"/>
        <v>58.18181818181818</v>
      </c>
      <c r="U27" s="1">
        <f t="shared" si="3"/>
        <v>60</v>
      </c>
      <c r="V27" s="1">
        <f t="shared" si="3"/>
        <v>61.81818181818182</v>
      </c>
    </row>
    <row r="28" spans="1:24" x14ac:dyDescent="0.3">
      <c r="A28" s="81"/>
      <c r="B28" s="13" t="str">
        <f t="shared" si="2"/>
        <v>0x0C</v>
      </c>
      <c r="C28" s="17">
        <f t="shared" si="5"/>
        <v>12</v>
      </c>
      <c r="D28" s="1">
        <f t="shared" si="4"/>
        <v>26.666666666666668</v>
      </c>
      <c r="E28" s="1">
        <f t="shared" si="3"/>
        <v>28.333333333333332</v>
      </c>
      <c r="F28" s="1">
        <f t="shared" si="3"/>
        <v>30</v>
      </c>
      <c r="G28" s="1">
        <f t="shared" si="3"/>
        <v>31.666666666666668</v>
      </c>
      <c r="H28" s="1">
        <f t="shared" si="3"/>
        <v>33.333333333333336</v>
      </c>
      <c r="I28" s="1">
        <f t="shared" si="3"/>
        <v>35</v>
      </c>
      <c r="J28" s="1">
        <f t="shared" si="3"/>
        <v>36.666666666666664</v>
      </c>
      <c r="K28" s="1">
        <f t="shared" si="3"/>
        <v>38.333333333333336</v>
      </c>
      <c r="L28" s="1">
        <f t="shared" si="3"/>
        <v>40</v>
      </c>
      <c r="M28" s="1">
        <f t="shared" si="3"/>
        <v>41.666666666666664</v>
      </c>
      <c r="N28" s="1">
        <f t="shared" si="3"/>
        <v>43.333333333333336</v>
      </c>
      <c r="O28" s="1">
        <f t="shared" si="3"/>
        <v>45</v>
      </c>
      <c r="P28" s="1">
        <f t="shared" si="3"/>
        <v>46.666666666666664</v>
      </c>
      <c r="Q28" s="1">
        <f t="shared" si="3"/>
        <v>48.333333333333336</v>
      </c>
      <c r="R28" s="1">
        <f t="shared" si="3"/>
        <v>50</v>
      </c>
      <c r="S28" s="1">
        <f t="shared" si="3"/>
        <v>51.666666666666664</v>
      </c>
      <c r="T28" s="1">
        <f t="shared" si="3"/>
        <v>53.333333333333336</v>
      </c>
      <c r="U28" s="1">
        <f t="shared" si="3"/>
        <v>55</v>
      </c>
      <c r="V28" s="1">
        <f t="shared" si="3"/>
        <v>56.666666666666664</v>
      </c>
    </row>
    <row r="29" spans="1:24" x14ac:dyDescent="0.3">
      <c r="A29" s="81"/>
      <c r="B29" s="13" t="str">
        <f t="shared" si="2"/>
        <v>0x0D</v>
      </c>
      <c r="C29" s="17">
        <f t="shared" si="5"/>
        <v>13</v>
      </c>
      <c r="D29" s="1">
        <f t="shared" si="4"/>
        <v>24.615384615384617</v>
      </c>
      <c r="E29" s="1">
        <f t="shared" si="3"/>
        <v>26.153846153846153</v>
      </c>
      <c r="F29" s="1">
        <f t="shared" si="3"/>
        <v>27.692307692307693</v>
      </c>
      <c r="G29" s="1">
        <f t="shared" si="3"/>
        <v>29.23076923076923</v>
      </c>
      <c r="H29" s="1">
        <f t="shared" si="3"/>
        <v>30.76923076923077</v>
      </c>
      <c r="I29" s="1">
        <f t="shared" si="3"/>
        <v>32.307692307692307</v>
      </c>
      <c r="J29" s="1">
        <f t="shared" si="3"/>
        <v>33.846153846153847</v>
      </c>
      <c r="K29" s="1">
        <f t="shared" si="3"/>
        <v>35.384615384615387</v>
      </c>
      <c r="L29" s="1">
        <f t="shared" si="3"/>
        <v>36.92307692307692</v>
      </c>
      <c r="M29" s="1">
        <f t="shared" si="3"/>
        <v>38.46153846153846</v>
      </c>
      <c r="N29" s="1">
        <f t="shared" si="3"/>
        <v>40</v>
      </c>
      <c r="O29" s="1">
        <f t="shared" si="3"/>
        <v>41.53846153846154</v>
      </c>
      <c r="P29" s="1">
        <f t="shared" si="3"/>
        <v>43.07692307692308</v>
      </c>
      <c r="Q29" s="1">
        <f t="shared" si="3"/>
        <v>44.615384615384613</v>
      </c>
      <c r="R29" s="1">
        <f t="shared" si="3"/>
        <v>46.153846153846153</v>
      </c>
      <c r="S29" s="1">
        <f t="shared" si="3"/>
        <v>47.692307692307693</v>
      </c>
      <c r="T29" s="1">
        <f t="shared" si="3"/>
        <v>49.230769230769234</v>
      </c>
      <c r="U29" s="1">
        <f t="shared" si="3"/>
        <v>50.769230769230766</v>
      </c>
      <c r="V29" s="1">
        <f t="shared" si="3"/>
        <v>52.307692307692307</v>
      </c>
    </row>
    <row r="30" spans="1:24" x14ac:dyDescent="0.3">
      <c r="A30" s="81"/>
      <c r="B30" s="13" t="str">
        <f t="shared" si="2"/>
        <v>0x0E</v>
      </c>
      <c r="C30" s="17">
        <f t="shared" si="5"/>
        <v>14</v>
      </c>
      <c r="D30" s="1">
        <f t="shared" si="4"/>
        <v>22.857142857142858</v>
      </c>
      <c r="E30" s="1">
        <f t="shared" si="3"/>
        <v>24.285714285714285</v>
      </c>
      <c r="F30" s="1">
        <f t="shared" si="3"/>
        <v>25.714285714285715</v>
      </c>
      <c r="G30" s="1">
        <f t="shared" si="3"/>
        <v>27.142857142857142</v>
      </c>
      <c r="H30" s="1">
        <f t="shared" si="3"/>
        <v>28.571428571428573</v>
      </c>
      <c r="I30" s="1">
        <f t="shared" si="3"/>
        <v>30</v>
      </c>
      <c r="J30" s="1">
        <f t="shared" si="3"/>
        <v>31.428571428571427</v>
      </c>
      <c r="K30" s="1">
        <f t="shared" si="3"/>
        <v>32.857142857142854</v>
      </c>
      <c r="L30" s="1">
        <f t="shared" si="3"/>
        <v>34.285714285714285</v>
      </c>
      <c r="M30" s="1">
        <f t="shared" si="3"/>
        <v>35.714285714285715</v>
      </c>
      <c r="N30" s="1">
        <f t="shared" si="3"/>
        <v>37.142857142857146</v>
      </c>
      <c r="O30" s="1">
        <f t="shared" si="3"/>
        <v>38.571428571428569</v>
      </c>
      <c r="P30" s="1">
        <f t="shared" si="3"/>
        <v>40</v>
      </c>
      <c r="Q30" s="1">
        <f t="shared" si="3"/>
        <v>41.428571428571431</v>
      </c>
      <c r="R30" s="1">
        <f t="shared" si="3"/>
        <v>42.857142857142854</v>
      </c>
      <c r="S30" s="1">
        <f t="shared" si="3"/>
        <v>44.285714285714285</v>
      </c>
      <c r="T30" s="1">
        <f t="shared" si="3"/>
        <v>45.714285714285715</v>
      </c>
      <c r="U30" s="1">
        <f t="shared" si="3"/>
        <v>47.142857142857146</v>
      </c>
      <c r="V30" s="1">
        <f t="shared" si="3"/>
        <v>48.571428571428569</v>
      </c>
    </row>
    <row r="31" spans="1:24" x14ac:dyDescent="0.3">
      <c r="A31" s="81"/>
      <c r="B31" s="13" t="str">
        <f t="shared" si="2"/>
        <v>0x0F</v>
      </c>
      <c r="C31" s="17">
        <f t="shared" si="5"/>
        <v>15</v>
      </c>
      <c r="D31" s="1">
        <f t="shared" si="4"/>
        <v>21.333333333333332</v>
      </c>
      <c r="E31" s="1">
        <f t="shared" si="3"/>
        <v>22.666666666666668</v>
      </c>
      <c r="F31" s="1">
        <f t="shared" si="3"/>
        <v>24</v>
      </c>
      <c r="G31" s="1">
        <f t="shared" si="3"/>
        <v>25.333333333333332</v>
      </c>
      <c r="H31" s="1">
        <f t="shared" si="3"/>
        <v>26.666666666666668</v>
      </c>
      <c r="I31" s="1">
        <f t="shared" si="3"/>
        <v>28</v>
      </c>
      <c r="J31" s="1">
        <f t="shared" si="3"/>
        <v>29.333333333333332</v>
      </c>
      <c r="K31" s="1">
        <f t="shared" si="3"/>
        <v>30.666666666666668</v>
      </c>
      <c r="L31" s="1">
        <f t="shared" si="3"/>
        <v>32</v>
      </c>
      <c r="M31" s="1">
        <f t="shared" si="3"/>
        <v>33.333333333333336</v>
      </c>
      <c r="N31" s="1">
        <f t="shared" si="3"/>
        <v>34.666666666666664</v>
      </c>
      <c r="O31" s="1">
        <f t="shared" si="3"/>
        <v>36</v>
      </c>
      <c r="P31" s="1">
        <f t="shared" si="3"/>
        <v>37.333333333333336</v>
      </c>
      <c r="Q31" s="1">
        <f t="shared" si="3"/>
        <v>38.666666666666664</v>
      </c>
      <c r="R31" s="1">
        <f t="shared" si="3"/>
        <v>40</v>
      </c>
      <c r="S31" s="1">
        <f t="shared" si="3"/>
        <v>41.333333333333336</v>
      </c>
      <c r="T31" s="1">
        <f t="shared" si="3"/>
        <v>42.666666666666664</v>
      </c>
      <c r="U31" s="1">
        <f t="shared" si="3"/>
        <v>44</v>
      </c>
      <c r="V31" s="1">
        <f t="shared" si="3"/>
        <v>45.333333333333336</v>
      </c>
    </row>
    <row r="32" spans="1:24" x14ac:dyDescent="0.3">
      <c r="A32" s="81"/>
      <c r="B32" s="13" t="str">
        <f t="shared" si="2"/>
        <v>0x10</v>
      </c>
      <c r="C32" s="17">
        <f t="shared" si="5"/>
        <v>16</v>
      </c>
      <c r="D32" s="1">
        <f t="shared" si="4"/>
        <v>20</v>
      </c>
      <c r="E32" s="1">
        <f t="shared" ref="E32:V46" si="6">($F$10*(E$16 + ($F$12/ POWER(2,12) ) ) ) /($C32*2)</f>
        <v>21.25</v>
      </c>
      <c r="F32" s="1">
        <f t="shared" si="6"/>
        <v>22.5</v>
      </c>
      <c r="G32" s="1">
        <f t="shared" si="6"/>
        <v>23.75</v>
      </c>
      <c r="H32" s="1">
        <f t="shared" si="6"/>
        <v>25</v>
      </c>
      <c r="I32" s="1">
        <f t="shared" si="6"/>
        <v>26.25</v>
      </c>
      <c r="J32" s="1">
        <f t="shared" si="6"/>
        <v>27.5</v>
      </c>
      <c r="K32" s="1">
        <f t="shared" si="6"/>
        <v>28.75</v>
      </c>
      <c r="L32" s="1">
        <f t="shared" si="6"/>
        <v>30</v>
      </c>
      <c r="M32" s="1">
        <f t="shared" si="6"/>
        <v>31.25</v>
      </c>
      <c r="N32" s="1">
        <f t="shared" si="6"/>
        <v>32.5</v>
      </c>
      <c r="O32" s="1">
        <f t="shared" si="6"/>
        <v>33.75</v>
      </c>
      <c r="P32" s="1">
        <f t="shared" si="6"/>
        <v>35</v>
      </c>
      <c r="Q32" s="1">
        <f t="shared" si="6"/>
        <v>36.25</v>
      </c>
      <c r="R32" s="1">
        <f t="shared" si="6"/>
        <v>37.5</v>
      </c>
      <c r="S32" s="1">
        <f t="shared" si="6"/>
        <v>38.75</v>
      </c>
      <c r="T32" s="1">
        <f t="shared" si="6"/>
        <v>40</v>
      </c>
      <c r="U32" s="1">
        <f t="shared" si="6"/>
        <v>41.25</v>
      </c>
      <c r="V32" s="1">
        <f t="shared" si="6"/>
        <v>42.5</v>
      </c>
    </row>
    <row r="33" spans="1:24" x14ac:dyDescent="0.3">
      <c r="A33" s="81"/>
      <c r="B33" s="13" t="str">
        <f t="shared" si="2"/>
        <v>0x11</v>
      </c>
      <c r="C33" s="17">
        <f t="shared" si="5"/>
        <v>17</v>
      </c>
      <c r="D33" s="1">
        <f t="shared" si="4"/>
        <v>18.823529411764707</v>
      </c>
      <c r="E33" s="1">
        <f t="shared" si="6"/>
        <v>20</v>
      </c>
      <c r="F33" s="1">
        <f t="shared" si="6"/>
        <v>21.176470588235293</v>
      </c>
      <c r="G33" s="1">
        <f t="shared" si="6"/>
        <v>22.352941176470587</v>
      </c>
      <c r="H33" s="1">
        <f t="shared" si="6"/>
        <v>23.529411764705884</v>
      </c>
      <c r="I33" s="1">
        <f t="shared" si="6"/>
        <v>24.705882352941178</v>
      </c>
      <c r="J33" s="1">
        <f t="shared" si="6"/>
        <v>25.882352941176471</v>
      </c>
      <c r="K33" s="1">
        <f t="shared" si="6"/>
        <v>27.058823529411764</v>
      </c>
      <c r="L33" s="1">
        <f t="shared" si="6"/>
        <v>28.235294117647058</v>
      </c>
      <c r="M33" s="1">
        <f t="shared" si="6"/>
        <v>29.411764705882351</v>
      </c>
      <c r="N33" s="1">
        <f t="shared" si="6"/>
        <v>30.588235294117649</v>
      </c>
      <c r="O33" s="1">
        <f t="shared" si="6"/>
        <v>31.764705882352942</v>
      </c>
      <c r="P33" s="1">
        <f t="shared" si="6"/>
        <v>32.941176470588232</v>
      </c>
      <c r="Q33" s="1">
        <f t="shared" si="6"/>
        <v>34.117647058823529</v>
      </c>
      <c r="R33" s="1">
        <f t="shared" si="6"/>
        <v>35.294117647058826</v>
      </c>
      <c r="S33" s="1">
        <f t="shared" si="6"/>
        <v>36.470588235294116</v>
      </c>
      <c r="T33" s="1">
        <f t="shared" si="6"/>
        <v>37.647058823529413</v>
      </c>
      <c r="U33" s="1">
        <f t="shared" si="6"/>
        <v>38.823529411764703</v>
      </c>
      <c r="V33" s="1">
        <f t="shared" si="6"/>
        <v>40</v>
      </c>
    </row>
    <row r="34" spans="1:24" x14ac:dyDescent="0.3">
      <c r="A34" s="81"/>
      <c r="B34" s="13" t="str">
        <f t="shared" si="2"/>
        <v>0x12</v>
      </c>
      <c r="C34" s="17">
        <f t="shared" si="5"/>
        <v>18</v>
      </c>
      <c r="D34" s="1">
        <f t="shared" si="4"/>
        <v>17.777777777777779</v>
      </c>
      <c r="E34" s="1">
        <f t="shared" si="6"/>
        <v>18.888888888888889</v>
      </c>
      <c r="F34" s="1">
        <f t="shared" si="6"/>
        <v>20</v>
      </c>
      <c r="G34" s="1">
        <f t="shared" si="6"/>
        <v>21.111111111111111</v>
      </c>
      <c r="H34" s="1">
        <f t="shared" si="6"/>
        <v>22.222222222222221</v>
      </c>
      <c r="I34" s="1">
        <f t="shared" si="6"/>
        <v>23.333333333333332</v>
      </c>
      <c r="J34" s="1">
        <f t="shared" si="6"/>
        <v>24.444444444444443</v>
      </c>
      <c r="K34" s="1">
        <f t="shared" si="6"/>
        <v>25.555555555555557</v>
      </c>
      <c r="L34" s="1">
        <f t="shared" si="6"/>
        <v>26.666666666666668</v>
      </c>
      <c r="M34" s="1">
        <f t="shared" si="6"/>
        <v>27.777777777777779</v>
      </c>
      <c r="N34" s="1">
        <f t="shared" si="6"/>
        <v>28.888888888888889</v>
      </c>
      <c r="O34" s="1">
        <f t="shared" si="6"/>
        <v>30</v>
      </c>
      <c r="P34" s="1">
        <f t="shared" si="6"/>
        <v>31.111111111111111</v>
      </c>
      <c r="Q34" s="1">
        <f t="shared" si="6"/>
        <v>32.222222222222221</v>
      </c>
      <c r="R34" s="1">
        <f t="shared" si="6"/>
        <v>33.333333333333336</v>
      </c>
      <c r="S34" s="1">
        <f t="shared" si="6"/>
        <v>34.444444444444443</v>
      </c>
      <c r="T34" s="1">
        <f t="shared" si="6"/>
        <v>35.555555555555557</v>
      </c>
      <c r="U34" s="1">
        <f t="shared" si="6"/>
        <v>36.666666666666664</v>
      </c>
      <c r="V34" s="1">
        <f t="shared" si="6"/>
        <v>37.777777777777779</v>
      </c>
    </row>
    <row r="35" spans="1:24" x14ac:dyDescent="0.3">
      <c r="A35" s="81"/>
      <c r="B35" s="13" t="str">
        <f t="shared" si="2"/>
        <v>0x13</v>
      </c>
      <c r="C35" s="17">
        <f t="shared" si="5"/>
        <v>19</v>
      </c>
      <c r="D35" s="1">
        <f t="shared" si="4"/>
        <v>16.842105263157894</v>
      </c>
      <c r="E35" s="1">
        <f t="shared" si="6"/>
        <v>17.894736842105264</v>
      </c>
      <c r="F35" s="1">
        <f t="shared" si="6"/>
        <v>18.94736842105263</v>
      </c>
      <c r="G35" s="1">
        <f t="shared" si="6"/>
        <v>20</v>
      </c>
      <c r="H35" s="1">
        <f t="shared" si="6"/>
        <v>21.05263157894737</v>
      </c>
      <c r="I35" s="1">
        <f t="shared" si="6"/>
        <v>22.105263157894736</v>
      </c>
      <c r="J35" s="1">
        <f t="shared" si="6"/>
        <v>23.157894736842106</v>
      </c>
      <c r="K35" s="1">
        <f t="shared" si="6"/>
        <v>24.210526315789473</v>
      </c>
      <c r="L35" s="1">
        <f t="shared" si="6"/>
        <v>25.263157894736842</v>
      </c>
      <c r="M35" s="1">
        <f t="shared" si="6"/>
        <v>26.315789473684209</v>
      </c>
      <c r="N35" s="1">
        <f t="shared" si="6"/>
        <v>27.368421052631579</v>
      </c>
      <c r="O35" s="1">
        <f t="shared" si="6"/>
        <v>28.421052631578949</v>
      </c>
      <c r="P35" s="1">
        <f t="shared" si="6"/>
        <v>29.473684210526315</v>
      </c>
      <c r="Q35" s="1">
        <f t="shared" si="6"/>
        <v>30.526315789473685</v>
      </c>
      <c r="R35" s="1">
        <f t="shared" si="6"/>
        <v>31.578947368421051</v>
      </c>
      <c r="S35" s="1">
        <f t="shared" si="6"/>
        <v>32.631578947368418</v>
      </c>
      <c r="T35" s="1">
        <f t="shared" si="6"/>
        <v>33.684210526315788</v>
      </c>
      <c r="U35" s="1">
        <f t="shared" si="6"/>
        <v>34.736842105263158</v>
      </c>
      <c r="V35" s="1">
        <f t="shared" si="6"/>
        <v>35.789473684210527</v>
      </c>
    </row>
    <row r="36" spans="1:24" x14ac:dyDescent="0.3">
      <c r="A36" s="81"/>
      <c r="B36" s="13" t="str">
        <f t="shared" si="2"/>
        <v>0x14</v>
      </c>
      <c r="C36" s="17">
        <f t="shared" si="5"/>
        <v>20</v>
      </c>
      <c r="D36" s="1">
        <f t="shared" si="4"/>
        <v>16</v>
      </c>
      <c r="E36" s="1">
        <f t="shared" si="6"/>
        <v>17</v>
      </c>
      <c r="F36" s="1">
        <f t="shared" si="6"/>
        <v>18</v>
      </c>
      <c r="G36" s="1">
        <f t="shared" si="6"/>
        <v>19</v>
      </c>
      <c r="H36" s="1">
        <f t="shared" si="6"/>
        <v>20</v>
      </c>
      <c r="I36" s="1">
        <f t="shared" si="6"/>
        <v>21</v>
      </c>
      <c r="J36" s="1">
        <f t="shared" si="6"/>
        <v>22</v>
      </c>
      <c r="K36" s="1">
        <f t="shared" si="6"/>
        <v>23</v>
      </c>
      <c r="L36" s="1">
        <f t="shared" si="6"/>
        <v>24</v>
      </c>
      <c r="M36" s="1">
        <f t="shared" si="6"/>
        <v>25</v>
      </c>
      <c r="N36" s="1">
        <f t="shared" si="6"/>
        <v>26</v>
      </c>
      <c r="O36" s="1">
        <f t="shared" si="6"/>
        <v>27</v>
      </c>
      <c r="P36" s="1">
        <f t="shared" si="6"/>
        <v>28</v>
      </c>
      <c r="Q36" s="1">
        <f t="shared" si="6"/>
        <v>29</v>
      </c>
      <c r="R36" s="1">
        <f t="shared" si="6"/>
        <v>30</v>
      </c>
      <c r="S36" s="1">
        <f t="shared" si="6"/>
        <v>31</v>
      </c>
      <c r="T36" s="1">
        <f t="shared" si="6"/>
        <v>32</v>
      </c>
      <c r="U36" s="1">
        <f t="shared" si="6"/>
        <v>33</v>
      </c>
      <c r="V36" s="1">
        <f t="shared" si="6"/>
        <v>34</v>
      </c>
    </row>
    <row r="37" spans="1:24" x14ac:dyDescent="0.3">
      <c r="A37" s="81"/>
      <c r="B37" s="13" t="str">
        <f t="shared" si="2"/>
        <v>0x15</v>
      </c>
      <c r="C37" s="17">
        <f t="shared" si="5"/>
        <v>21</v>
      </c>
      <c r="D37" s="1">
        <f t="shared" si="4"/>
        <v>15.238095238095237</v>
      </c>
      <c r="E37" s="1">
        <f t="shared" si="6"/>
        <v>16.19047619047619</v>
      </c>
      <c r="F37" s="1">
        <f t="shared" si="6"/>
        <v>17.142857142857142</v>
      </c>
      <c r="G37" s="1">
        <f t="shared" si="6"/>
        <v>18.095238095238095</v>
      </c>
      <c r="H37" s="1">
        <f t="shared" si="6"/>
        <v>19.047619047619047</v>
      </c>
      <c r="I37" s="1">
        <f t="shared" si="6"/>
        <v>20</v>
      </c>
      <c r="J37" s="1">
        <f t="shared" si="6"/>
        <v>20.952380952380953</v>
      </c>
      <c r="K37" s="1">
        <f t="shared" si="6"/>
        <v>21.904761904761905</v>
      </c>
      <c r="L37" s="1">
        <f t="shared" si="6"/>
        <v>22.857142857142858</v>
      </c>
      <c r="M37" s="1">
        <f t="shared" si="6"/>
        <v>23.80952380952381</v>
      </c>
      <c r="N37" s="1">
        <f t="shared" si="6"/>
        <v>24.761904761904763</v>
      </c>
      <c r="O37" s="1">
        <f t="shared" si="6"/>
        <v>25.714285714285715</v>
      </c>
      <c r="P37" s="1">
        <f t="shared" si="6"/>
        <v>26.666666666666668</v>
      </c>
      <c r="Q37" s="1">
        <f t="shared" si="6"/>
        <v>27.61904761904762</v>
      </c>
      <c r="R37" s="1">
        <f t="shared" si="6"/>
        <v>28.571428571428573</v>
      </c>
      <c r="S37" s="1">
        <f t="shared" si="6"/>
        <v>29.523809523809526</v>
      </c>
      <c r="T37" s="1">
        <f t="shared" si="6"/>
        <v>30.476190476190474</v>
      </c>
      <c r="U37" s="1">
        <f t="shared" si="6"/>
        <v>31.428571428571427</v>
      </c>
      <c r="V37" s="1">
        <f t="shared" si="6"/>
        <v>32.38095238095238</v>
      </c>
    </row>
    <row r="38" spans="1:24" x14ac:dyDescent="0.3">
      <c r="A38" s="81"/>
      <c r="B38" s="13" t="str">
        <f t="shared" si="2"/>
        <v>0x16</v>
      </c>
      <c r="C38" s="17">
        <f t="shared" si="5"/>
        <v>22</v>
      </c>
      <c r="D38" s="1">
        <f t="shared" si="4"/>
        <v>14.545454545454545</v>
      </c>
      <c r="E38" s="1">
        <f t="shared" si="6"/>
        <v>15.454545454545455</v>
      </c>
      <c r="F38" s="1">
        <f t="shared" si="6"/>
        <v>16.363636363636363</v>
      </c>
      <c r="G38" s="1">
        <f t="shared" si="6"/>
        <v>17.272727272727273</v>
      </c>
      <c r="H38" s="1">
        <f t="shared" si="6"/>
        <v>18.181818181818183</v>
      </c>
      <c r="I38" s="1">
        <f t="shared" si="6"/>
        <v>19.09090909090909</v>
      </c>
      <c r="J38" s="1">
        <f t="shared" si="6"/>
        <v>20</v>
      </c>
      <c r="K38" s="1">
        <f t="shared" si="6"/>
        <v>20.90909090909091</v>
      </c>
      <c r="L38" s="1">
        <f t="shared" si="6"/>
        <v>21.818181818181817</v>
      </c>
      <c r="M38" s="1">
        <f t="shared" si="6"/>
        <v>22.727272727272727</v>
      </c>
      <c r="N38" s="1">
        <f t="shared" si="6"/>
        <v>23.636363636363637</v>
      </c>
      <c r="O38" s="1">
        <f t="shared" si="6"/>
        <v>24.545454545454547</v>
      </c>
      <c r="P38" s="1">
        <f t="shared" si="6"/>
        <v>25.454545454545453</v>
      </c>
      <c r="Q38" s="1">
        <f t="shared" si="6"/>
        <v>26.363636363636363</v>
      </c>
      <c r="R38" s="1">
        <f t="shared" si="6"/>
        <v>27.272727272727273</v>
      </c>
      <c r="S38" s="1">
        <f t="shared" si="6"/>
        <v>28.181818181818183</v>
      </c>
      <c r="T38" s="1">
        <f t="shared" si="6"/>
        <v>29.09090909090909</v>
      </c>
      <c r="U38" s="1">
        <f t="shared" si="6"/>
        <v>30</v>
      </c>
      <c r="V38" s="1">
        <f t="shared" si="6"/>
        <v>30.90909090909091</v>
      </c>
    </row>
    <row r="39" spans="1:24" x14ac:dyDescent="0.3">
      <c r="A39" s="81"/>
      <c r="B39" s="13" t="str">
        <f t="shared" si="2"/>
        <v>0x17</v>
      </c>
      <c r="C39" s="17">
        <f t="shared" si="5"/>
        <v>23</v>
      </c>
      <c r="D39" s="1">
        <f t="shared" si="4"/>
        <v>13.913043478260869</v>
      </c>
      <c r="E39" s="1">
        <f t="shared" si="6"/>
        <v>14.782608695652174</v>
      </c>
      <c r="F39" s="1">
        <f t="shared" si="6"/>
        <v>15.652173913043478</v>
      </c>
      <c r="G39" s="1">
        <f t="shared" si="6"/>
        <v>16.521739130434781</v>
      </c>
      <c r="H39" s="1">
        <f t="shared" si="6"/>
        <v>17.391304347826086</v>
      </c>
      <c r="I39" s="1">
        <f t="shared" si="6"/>
        <v>18.260869565217391</v>
      </c>
      <c r="J39" s="1">
        <f t="shared" si="6"/>
        <v>19.130434782608695</v>
      </c>
      <c r="K39" s="1">
        <f t="shared" si="6"/>
        <v>20</v>
      </c>
      <c r="L39" s="1">
        <f t="shared" si="6"/>
        <v>20.869565217391305</v>
      </c>
      <c r="M39" s="1">
        <f t="shared" si="6"/>
        <v>21.739130434782609</v>
      </c>
      <c r="N39" s="1">
        <f t="shared" si="6"/>
        <v>22.608695652173914</v>
      </c>
      <c r="O39" s="1">
        <f t="shared" si="6"/>
        <v>23.478260869565219</v>
      </c>
      <c r="P39" s="1">
        <f t="shared" si="6"/>
        <v>24.347826086956523</v>
      </c>
      <c r="Q39" s="1">
        <f t="shared" si="6"/>
        <v>25.217391304347824</v>
      </c>
      <c r="R39" s="1">
        <f t="shared" si="6"/>
        <v>26.086956521739129</v>
      </c>
      <c r="S39" s="1">
        <f t="shared" si="6"/>
        <v>26.956521739130434</v>
      </c>
      <c r="T39" s="1">
        <f t="shared" si="6"/>
        <v>27.826086956521738</v>
      </c>
      <c r="U39" s="1">
        <f t="shared" si="6"/>
        <v>28.695652173913043</v>
      </c>
      <c r="V39" s="1">
        <f t="shared" si="6"/>
        <v>29.565217391304348</v>
      </c>
    </row>
    <row r="40" spans="1:24" x14ac:dyDescent="0.3">
      <c r="A40" s="81"/>
      <c r="B40" s="13" t="str">
        <f t="shared" si="2"/>
        <v>0x18</v>
      </c>
      <c r="C40" s="17">
        <f t="shared" si="5"/>
        <v>24</v>
      </c>
      <c r="D40" s="1">
        <f t="shared" si="4"/>
        <v>13.333333333333334</v>
      </c>
      <c r="E40" s="1">
        <f t="shared" si="6"/>
        <v>14.166666666666666</v>
      </c>
      <c r="F40" s="1">
        <f t="shared" si="6"/>
        <v>15</v>
      </c>
      <c r="G40" s="1">
        <f t="shared" si="6"/>
        <v>15.833333333333334</v>
      </c>
      <c r="H40" s="1">
        <f t="shared" si="6"/>
        <v>16.666666666666668</v>
      </c>
      <c r="I40" s="1">
        <f t="shared" si="6"/>
        <v>17.5</v>
      </c>
      <c r="J40" s="1">
        <f t="shared" si="6"/>
        <v>18.333333333333332</v>
      </c>
      <c r="K40" s="1">
        <f t="shared" si="6"/>
        <v>19.166666666666668</v>
      </c>
      <c r="L40" s="1">
        <f t="shared" si="6"/>
        <v>20</v>
      </c>
      <c r="M40" s="1">
        <f t="shared" si="6"/>
        <v>20.833333333333332</v>
      </c>
      <c r="N40" s="1">
        <f t="shared" si="6"/>
        <v>21.666666666666668</v>
      </c>
      <c r="O40" s="1">
        <f t="shared" si="6"/>
        <v>22.5</v>
      </c>
      <c r="P40" s="1">
        <f t="shared" si="6"/>
        <v>23.333333333333332</v>
      </c>
      <c r="Q40" s="1">
        <f t="shared" si="6"/>
        <v>24.166666666666668</v>
      </c>
      <c r="R40" s="1">
        <f t="shared" si="6"/>
        <v>25</v>
      </c>
      <c r="S40" s="1">
        <f t="shared" si="6"/>
        <v>25.833333333333332</v>
      </c>
      <c r="T40" s="1">
        <f t="shared" si="6"/>
        <v>26.666666666666668</v>
      </c>
      <c r="U40" s="1">
        <f t="shared" si="6"/>
        <v>27.5</v>
      </c>
      <c r="V40" s="1">
        <f t="shared" si="6"/>
        <v>28.333333333333332</v>
      </c>
    </row>
    <row r="41" spans="1:24" x14ac:dyDescent="0.3">
      <c r="A41" s="81"/>
      <c r="B41" s="13" t="str">
        <f t="shared" si="2"/>
        <v>0x19</v>
      </c>
      <c r="C41" s="17">
        <f t="shared" si="5"/>
        <v>25</v>
      </c>
      <c r="D41" s="1">
        <f t="shared" si="4"/>
        <v>12.8</v>
      </c>
      <c r="E41" s="1">
        <f t="shared" si="6"/>
        <v>13.6</v>
      </c>
      <c r="F41" s="1">
        <f t="shared" si="6"/>
        <v>14.4</v>
      </c>
      <c r="G41" s="1">
        <f t="shared" si="6"/>
        <v>15.2</v>
      </c>
      <c r="H41" s="1">
        <f t="shared" si="6"/>
        <v>16</v>
      </c>
      <c r="I41" s="1">
        <f t="shared" si="6"/>
        <v>16.8</v>
      </c>
      <c r="J41" s="1">
        <f t="shared" si="6"/>
        <v>17.600000000000001</v>
      </c>
      <c r="K41" s="1">
        <f t="shared" si="6"/>
        <v>18.399999999999999</v>
      </c>
      <c r="L41" s="1">
        <f t="shared" si="6"/>
        <v>19.2</v>
      </c>
      <c r="M41" s="1">
        <f t="shared" si="6"/>
        <v>20</v>
      </c>
      <c r="N41" s="1">
        <f t="shared" si="6"/>
        <v>20.8</v>
      </c>
      <c r="O41" s="1">
        <f t="shared" si="6"/>
        <v>21.6</v>
      </c>
      <c r="P41" s="1">
        <f t="shared" si="6"/>
        <v>22.4</v>
      </c>
      <c r="Q41" s="1">
        <f t="shared" si="6"/>
        <v>23.2</v>
      </c>
      <c r="R41" s="1">
        <f t="shared" si="6"/>
        <v>24</v>
      </c>
      <c r="S41" s="1">
        <f t="shared" si="6"/>
        <v>24.8</v>
      </c>
      <c r="T41" s="1">
        <f t="shared" si="6"/>
        <v>25.6</v>
      </c>
      <c r="U41" s="1">
        <f t="shared" si="6"/>
        <v>26.4</v>
      </c>
      <c r="V41" s="1">
        <f t="shared" si="6"/>
        <v>27.2</v>
      </c>
    </row>
    <row r="42" spans="1:24" x14ac:dyDescent="0.3">
      <c r="A42" s="81"/>
      <c r="B42" s="13" t="str">
        <f t="shared" si="2"/>
        <v>0x1A</v>
      </c>
      <c r="C42" s="17">
        <f t="shared" si="5"/>
        <v>26</v>
      </c>
      <c r="D42" s="1">
        <f t="shared" si="4"/>
        <v>12.307692307692308</v>
      </c>
      <c r="E42" s="1">
        <f t="shared" si="6"/>
        <v>13.076923076923077</v>
      </c>
      <c r="F42" s="1">
        <f t="shared" si="6"/>
        <v>13.846153846153847</v>
      </c>
      <c r="G42" s="1">
        <f t="shared" si="6"/>
        <v>14.615384615384615</v>
      </c>
      <c r="H42" s="1">
        <f t="shared" si="6"/>
        <v>15.384615384615385</v>
      </c>
      <c r="I42" s="1">
        <f t="shared" si="6"/>
        <v>16.153846153846153</v>
      </c>
      <c r="J42" s="1">
        <f t="shared" si="6"/>
        <v>16.923076923076923</v>
      </c>
      <c r="K42" s="1">
        <f t="shared" si="6"/>
        <v>17.692307692307693</v>
      </c>
      <c r="L42" s="1">
        <f t="shared" si="6"/>
        <v>18.46153846153846</v>
      </c>
      <c r="M42" s="1">
        <f t="shared" si="6"/>
        <v>19.23076923076923</v>
      </c>
      <c r="N42" s="1">
        <f t="shared" si="6"/>
        <v>20</v>
      </c>
      <c r="O42" s="1">
        <f t="shared" si="6"/>
        <v>20.76923076923077</v>
      </c>
      <c r="P42" s="1">
        <f t="shared" si="6"/>
        <v>21.53846153846154</v>
      </c>
      <c r="Q42" s="1">
        <f t="shared" si="6"/>
        <v>22.307692307692307</v>
      </c>
      <c r="R42" s="1">
        <f t="shared" si="6"/>
        <v>23.076923076923077</v>
      </c>
      <c r="S42" s="1">
        <f t="shared" si="6"/>
        <v>23.846153846153847</v>
      </c>
      <c r="T42" s="1">
        <f t="shared" si="6"/>
        <v>24.615384615384617</v>
      </c>
      <c r="U42" s="1">
        <f t="shared" si="6"/>
        <v>25.384615384615383</v>
      </c>
      <c r="V42" s="1">
        <f t="shared" si="6"/>
        <v>26.153846153846153</v>
      </c>
    </row>
    <row r="43" spans="1:24" x14ac:dyDescent="0.3">
      <c r="A43" s="81"/>
      <c r="B43" s="13" t="str">
        <f t="shared" si="2"/>
        <v>0x1B</v>
      </c>
      <c r="C43" s="17">
        <f t="shared" si="5"/>
        <v>27</v>
      </c>
      <c r="D43" s="1">
        <f t="shared" si="4"/>
        <v>11.851851851851851</v>
      </c>
      <c r="E43" s="1">
        <f t="shared" si="6"/>
        <v>12.592592592592593</v>
      </c>
      <c r="F43" s="1">
        <f t="shared" si="6"/>
        <v>13.333333333333334</v>
      </c>
      <c r="G43" s="1">
        <f t="shared" si="6"/>
        <v>14.074074074074074</v>
      </c>
      <c r="H43" s="1">
        <f t="shared" si="6"/>
        <v>14.814814814814815</v>
      </c>
      <c r="I43" s="1">
        <f t="shared" si="6"/>
        <v>15.555555555555555</v>
      </c>
      <c r="J43" s="1">
        <f t="shared" si="6"/>
        <v>16.296296296296298</v>
      </c>
      <c r="K43" s="1">
        <f t="shared" si="6"/>
        <v>17.037037037037038</v>
      </c>
      <c r="L43" s="1">
        <f t="shared" si="6"/>
        <v>17.777777777777779</v>
      </c>
      <c r="M43" s="1">
        <f t="shared" si="6"/>
        <v>18.518518518518519</v>
      </c>
      <c r="N43" s="1">
        <f t="shared" si="6"/>
        <v>19.25925925925926</v>
      </c>
      <c r="O43" s="1">
        <f t="shared" si="6"/>
        <v>20</v>
      </c>
      <c r="P43" s="1">
        <f t="shared" si="6"/>
        <v>20.74074074074074</v>
      </c>
      <c r="Q43" s="1">
        <f t="shared" si="6"/>
        <v>21.481481481481481</v>
      </c>
      <c r="R43" s="1">
        <f t="shared" si="6"/>
        <v>22.222222222222221</v>
      </c>
      <c r="S43" s="1">
        <f t="shared" si="6"/>
        <v>22.962962962962962</v>
      </c>
      <c r="T43" s="1">
        <f t="shared" si="6"/>
        <v>23.703703703703702</v>
      </c>
      <c r="U43" s="1">
        <f t="shared" si="6"/>
        <v>24.444444444444443</v>
      </c>
      <c r="V43" s="1">
        <f t="shared" si="6"/>
        <v>25.185185185185187</v>
      </c>
    </row>
    <row r="44" spans="1:24" x14ac:dyDescent="0.3">
      <c r="A44" s="81"/>
      <c r="B44" s="13" t="str">
        <f t="shared" si="2"/>
        <v>0x1C</v>
      </c>
      <c r="C44" s="17">
        <f t="shared" si="5"/>
        <v>28</v>
      </c>
      <c r="D44" s="1">
        <f t="shared" si="4"/>
        <v>11.428571428571429</v>
      </c>
      <c r="E44" s="1">
        <f t="shared" si="6"/>
        <v>12.142857142857142</v>
      </c>
      <c r="F44" s="1">
        <f t="shared" si="6"/>
        <v>12.857142857142858</v>
      </c>
      <c r="G44" s="1">
        <f t="shared" si="6"/>
        <v>13.571428571428571</v>
      </c>
      <c r="H44" s="1">
        <f t="shared" si="6"/>
        <v>14.285714285714286</v>
      </c>
      <c r="I44" s="1">
        <f t="shared" si="6"/>
        <v>15</v>
      </c>
      <c r="J44" s="1">
        <f t="shared" si="6"/>
        <v>15.714285714285714</v>
      </c>
      <c r="K44" s="1">
        <f t="shared" si="6"/>
        <v>16.428571428571427</v>
      </c>
      <c r="L44" s="1">
        <f t="shared" si="6"/>
        <v>17.142857142857142</v>
      </c>
      <c r="M44" s="1">
        <f t="shared" si="6"/>
        <v>17.857142857142858</v>
      </c>
      <c r="N44" s="1">
        <f t="shared" si="6"/>
        <v>18.571428571428573</v>
      </c>
      <c r="O44" s="1">
        <f t="shared" si="6"/>
        <v>19.285714285714285</v>
      </c>
      <c r="P44" s="1">
        <f t="shared" si="6"/>
        <v>20</v>
      </c>
      <c r="Q44" s="1">
        <f t="shared" si="6"/>
        <v>20.714285714285715</v>
      </c>
      <c r="R44" s="1">
        <f t="shared" si="6"/>
        <v>21.428571428571427</v>
      </c>
      <c r="S44" s="1">
        <f t="shared" si="6"/>
        <v>22.142857142857142</v>
      </c>
      <c r="T44" s="1">
        <f t="shared" si="6"/>
        <v>22.857142857142858</v>
      </c>
      <c r="U44" s="1">
        <f t="shared" si="6"/>
        <v>23.571428571428573</v>
      </c>
      <c r="V44" s="1">
        <f t="shared" si="6"/>
        <v>24.285714285714285</v>
      </c>
      <c r="X44" s="9"/>
    </row>
    <row r="45" spans="1:24" x14ac:dyDescent="0.3">
      <c r="A45" s="81"/>
      <c r="B45" s="13" t="str">
        <f t="shared" si="2"/>
        <v>0x1D</v>
      </c>
      <c r="C45" s="17">
        <f t="shared" si="5"/>
        <v>29</v>
      </c>
      <c r="D45" s="1">
        <f t="shared" si="4"/>
        <v>11.03448275862069</v>
      </c>
      <c r="E45" s="1">
        <f t="shared" si="6"/>
        <v>11.724137931034482</v>
      </c>
      <c r="F45" s="1">
        <f t="shared" si="6"/>
        <v>12.413793103448276</v>
      </c>
      <c r="G45" s="1">
        <f t="shared" si="6"/>
        <v>13.103448275862069</v>
      </c>
      <c r="H45" s="1">
        <f t="shared" si="6"/>
        <v>13.793103448275861</v>
      </c>
      <c r="I45" s="1">
        <f t="shared" si="6"/>
        <v>14.482758620689655</v>
      </c>
      <c r="J45" s="1">
        <f t="shared" si="6"/>
        <v>15.172413793103448</v>
      </c>
      <c r="K45" s="1">
        <f t="shared" si="6"/>
        <v>15.862068965517242</v>
      </c>
      <c r="L45" s="1">
        <f t="shared" si="6"/>
        <v>16.551724137931036</v>
      </c>
      <c r="M45" s="1">
        <f t="shared" si="6"/>
        <v>17.241379310344829</v>
      </c>
      <c r="N45" s="1">
        <f t="shared" si="6"/>
        <v>17.931034482758619</v>
      </c>
      <c r="O45" s="1">
        <f t="shared" si="6"/>
        <v>18.620689655172413</v>
      </c>
      <c r="P45" s="1">
        <f t="shared" si="6"/>
        <v>19.310344827586206</v>
      </c>
      <c r="Q45" s="1">
        <f t="shared" si="6"/>
        <v>20</v>
      </c>
      <c r="R45" s="1">
        <f t="shared" si="6"/>
        <v>20.689655172413794</v>
      </c>
      <c r="S45" s="1">
        <f t="shared" si="6"/>
        <v>21.379310344827587</v>
      </c>
      <c r="T45" s="1">
        <f t="shared" si="6"/>
        <v>22.068965517241381</v>
      </c>
      <c r="U45" s="1">
        <f t="shared" si="6"/>
        <v>22.758620689655171</v>
      </c>
      <c r="V45" s="1">
        <f t="shared" si="6"/>
        <v>23.448275862068964</v>
      </c>
    </row>
    <row r="46" spans="1:24" x14ac:dyDescent="0.3">
      <c r="A46" s="81"/>
      <c r="B46" s="13" t="str">
        <f t="shared" si="2"/>
        <v>0x1E</v>
      </c>
      <c r="C46" s="17">
        <f t="shared" si="5"/>
        <v>30</v>
      </c>
      <c r="D46" s="1">
        <f t="shared" si="4"/>
        <v>10.666666666666666</v>
      </c>
      <c r="E46" s="1">
        <f t="shared" si="6"/>
        <v>11.333333333333334</v>
      </c>
      <c r="F46" s="1">
        <f t="shared" si="6"/>
        <v>12</v>
      </c>
      <c r="G46" s="1">
        <f t="shared" si="6"/>
        <v>12.666666666666666</v>
      </c>
      <c r="H46" s="1">
        <f t="shared" ref="E46:V60" si="7">($F$10*(H$16 + ($F$12/ POWER(2,12) ) ) ) /($C46*2)</f>
        <v>13.333333333333334</v>
      </c>
      <c r="I46" s="1">
        <f t="shared" si="7"/>
        <v>14</v>
      </c>
      <c r="J46" s="1">
        <f t="shared" si="7"/>
        <v>14.666666666666666</v>
      </c>
      <c r="K46" s="1">
        <f t="shared" si="7"/>
        <v>15.333333333333334</v>
      </c>
      <c r="L46" s="1">
        <f t="shared" si="7"/>
        <v>16</v>
      </c>
      <c r="M46" s="1">
        <f t="shared" si="7"/>
        <v>16.666666666666668</v>
      </c>
      <c r="N46" s="1">
        <f t="shared" si="7"/>
        <v>17.333333333333332</v>
      </c>
      <c r="O46" s="1">
        <f t="shared" si="7"/>
        <v>18</v>
      </c>
      <c r="P46" s="1">
        <f t="shared" si="7"/>
        <v>18.666666666666668</v>
      </c>
      <c r="Q46" s="1">
        <f t="shared" si="7"/>
        <v>19.333333333333332</v>
      </c>
      <c r="R46" s="1">
        <f t="shared" si="7"/>
        <v>20</v>
      </c>
      <c r="S46" s="1">
        <f t="shared" si="7"/>
        <v>20.666666666666668</v>
      </c>
      <c r="T46" s="1">
        <f t="shared" si="7"/>
        <v>21.333333333333332</v>
      </c>
      <c r="U46" s="1">
        <f t="shared" si="7"/>
        <v>22</v>
      </c>
      <c r="V46" s="1">
        <f t="shared" si="7"/>
        <v>22.666666666666668</v>
      </c>
    </row>
    <row r="47" spans="1:24" x14ac:dyDescent="0.3">
      <c r="A47" s="81"/>
      <c r="B47" s="13" t="str">
        <f t="shared" si="2"/>
        <v>0x1F</v>
      </c>
      <c r="C47" s="17">
        <f t="shared" si="5"/>
        <v>31</v>
      </c>
      <c r="D47" s="1">
        <f t="shared" si="4"/>
        <v>10.32258064516129</v>
      </c>
      <c r="E47" s="1">
        <f t="shared" si="7"/>
        <v>10.96774193548387</v>
      </c>
      <c r="F47" s="1">
        <f t="shared" si="7"/>
        <v>11.612903225806452</v>
      </c>
      <c r="G47" s="1">
        <f t="shared" si="7"/>
        <v>12.258064516129032</v>
      </c>
      <c r="H47" s="1">
        <f t="shared" si="7"/>
        <v>12.903225806451612</v>
      </c>
      <c r="I47" s="1">
        <f t="shared" si="7"/>
        <v>13.548387096774194</v>
      </c>
      <c r="J47" s="1">
        <f t="shared" si="7"/>
        <v>14.193548387096774</v>
      </c>
      <c r="K47" s="1">
        <f t="shared" si="7"/>
        <v>14.838709677419354</v>
      </c>
      <c r="L47" s="1">
        <f t="shared" si="7"/>
        <v>15.483870967741936</v>
      </c>
      <c r="M47" s="1">
        <f t="shared" si="7"/>
        <v>16.129032258064516</v>
      </c>
      <c r="N47" s="1">
        <f t="shared" si="7"/>
        <v>16.774193548387096</v>
      </c>
      <c r="O47" s="1">
        <f t="shared" si="7"/>
        <v>17.419354838709676</v>
      </c>
      <c r="P47" s="1">
        <f t="shared" si="7"/>
        <v>18.06451612903226</v>
      </c>
      <c r="Q47" s="1">
        <f t="shared" si="7"/>
        <v>18.70967741935484</v>
      </c>
      <c r="R47" s="1">
        <f t="shared" si="7"/>
        <v>19.35483870967742</v>
      </c>
      <c r="S47" s="1">
        <f t="shared" si="7"/>
        <v>20</v>
      </c>
      <c r="T47" s="1">
        <f t="shared" si="7"/>
        <v>20.64516129032258</v>
      </c>
      <c r="U47" s="1">
        <f t="shared" si="7"/>
        <v>21.29032258064516</v>
      </c>
      <c r="V47" s="1">
        <f t="shared" si="7"/>
        <v>21.93548387096774</v>
      </c>
    </row>
    <row r="48" spans="1:24" x14ac:dyDescent="0.3">
      <c r="A48" s="81"/>
      <c r="B48" s="13" t="str">
        <f t="shared" ref="B48:B79" si="8">"0x"&amp;DEC2HEX(C48,2)</f>
        <v>0x20</v>
      </c>
      <c r="C48" s="17">
        <f t="shared" si="5"/>
        <v>32</v>
      </c>
      <c r="D48" s="1">
        <f t="shared" si="4"/>
        <v>10</v>
      </c>
      <c r="E48" s="1">
        <f t="shared" si="7"/>
        <v>10.625</v>
      </c>
      <c r="F48" s="1">
        <f t="shared" si="7"/>
        <v>11.25</v>
      </c>
      <c r="G48" s="1">
        <f t="shared" si="7"/>
        <v>11.875</v>
      </c>
      <c r="H48" s="1">
        <f t="shared" si="7"/>
        <v>12.5</v>
      </c>
      <c r="I48" s="1">
        <f t="shared" si="7"/>
        <v>13.125</v>
      </c>
      <c r="J48" s="1">
        <f t="shared" si="7"/>
        <v>13.75</v>
      </c>
      <c r="K48" s="1">
        <f t="shared" si="7"/>
        <v>14.375</v>
      </c>
      <c r="L48" s="1">
        <f t="shared" si="7"/>
        <v>15</v>
      </c>
      <c r="M48" s="1">
        <f t="shared" si="7"/>
        <v>15.625</v>
      </c>
      <c r="N48" s="1">
        <f t="shared" si="7"/>
        <v>16.25</v>
      </c>
      <c r="O48" s="1">
        <f t="shared" si="7"/>
        <v>16.875</v>
      </c>
      <c r="P48" s="1">
        <f t="shared" si="7"/>
        <v>17.5</v>
      </c>
      <c r="Q48" s="1">
        <f t="shared" si="7"/>
        <v>18.125</v>
      </c>
      <c r="R48" s="1">
        <f t="shared" si="7"/>
        <v>18.75</v>
      </c>
      <c r="S48" s="1">
        <f t="shared" si="7"/>
        <v>19.375</v>
      </c>
      <c r="T48" s="1">
        <f t="shared" si="7"/>
        <v>20</v>
      </c>
      <c r="U48" s="1">
        <f t="shared" si="7"/>
        <v>20.625</v>
      </c>
      <c r="V48" s="1">
        <f t="shared" si="7"/>
        <v>21.25</v>
      </c>
    </row>
    <row r="49" spans="1:22" x14ac:dyDescent="0.3">
      <c r="A49" s="81"/>
      <c r="B49" s="13" t="str">
        <f t="shared" si="8"/>
        <v>0x21</v>
      </c>
      <c r="C49" s="17">
        <f t="shared" si="5"/>
        <v>33</v>
      </c>
      <c r="D49" s="1">
        <f t="shared" si="4"/>
        <v>9.6969696969696972</v>
      </c>
      <c r="E49" s="1">
        <f t="shared" si="7"/>
        <v>10.303030303030303</v>
      </c>
      <c r="F49" s="1">
        <f t="shared" si="7"/>
        <v>10.909090909090908</v>
      </c>
      <c r="G49" s="1">
        <f t="shared" si="7"/>
        <v>11.515151515151516</v>
      </c>
      <c r="H49" s="1">
        <f t="shared" si="7"/>
        <v>12.121212121212121</v>
      </c>
      <c r="I49" s="1">
        <f t="shared" si="7"/>
        <v>12.727272727272727</v>
      </c>
      <c r="J49" s="1">
        <f t="shared" si="7"/>
        <v>13.333333333333334</v>
      </c>
      <c r="K49" s="1">
        <f t="shared" si="7"/>
        <v>13.939393939393939</v>
      </c>
      <c r="L49" s="1">
        <f t="shared" si="7"/>
        <v>14.545454545454545</v>
      </c>
      <c r="M49" s="1">
        <f t="shared" si="7"/>
        <v>15.151515151515152</v>
      </c>
      <c r="N49" s="1">
        <f t="shared" si="7"/>
        <v>15.757575757575758</v>
      </c>
      <c r="O49" s="1">
        <f t="shared" si="7"/>
        <v>16.363636363636363</v>
      </c>
      <c r="P49" s="1">
        <f t="shared" si="7"/>
        <v>16.969696969696969</v>
      </c>
      <c r="Q49" s="1">
        <f t="shared" si="7"/>
        <v>17.575757575757574</v>
      </c>
      <c r="R49" s="1">
        <f t="shared" si="7"/>
        <v>18.181818181818183</v>
      </c>
      <c r="S49" s="1">
        <f t="shared" si="7"/>
        <v>18.787878787878789</v>
      </c>
      <c r="T49" s="1">
        <f t="shared" si="7"/>
        <v>19.393939393939394</v>
      </c>
      <c r="U49" s="1">
        <f t="shared" si="7"/>
        <v>20</v>
      </c>
      <c r="V49" s="1">
        <f t="shared" si="7"/>
        <v>20.606060606060606</v>
      </c>
    </row>
    <row r="50" spans="1:22" x14ac:dyDescent="0.3">
      <c r="A50" s="81"/>
      <c r="B50" s="13" t="str">
        <f t="shared" si="8"/>
        <v>0x22</v>
      </c>
      <c r="C50" s="17">
        <f t="shared" si="5"/>
        <v>34</v>
      </c>
      <c r="D50" s="1">
        <f t="shared" si="4"/>
        <v>9.4117647058823533</v>
      </c>
      <c r="E50" s="1">
        <f t="shared" si="7"/>
        <v>10</v>
      </c>
      <c r="F50" s="1">
        <f t="shared" si="7"/>
        <v>10.588235294117647</v>
      </c>
      <c r="G50" s="1">
        <f t="shared" si="7"/>
        <v>11.176470588235293</v>
      </c>
      <c r="H50" s="1">
        <f t="shared" si="7"/>
        <v>11.764705882352942</v>
      </c>
      <c r="I50" s="1">
        <f t="shared" si="7"/>
        <v>12.352941176470589</v>
      </c>
      <c r="J50" s="1">
        <f t="shared" si="7"/>
        <v>12.941176470588236</v>
      </c>
      <c r="K50" s="1">
        <f t="shared" si="7"/>
        <v>13.529411764705882</v>
      </c>
      <c r="L50" s="1">
        <f t="shared" si="7"/>
        <v>14.117647058823529</v>
      </c>
      <c r="M50" s="1">
        <f t="shared" si="7"/>
        <v>14.705882352941176</v>
      </c>
      <c r="N50" s="1">
        <f t="shared" si="7"/>
        <v>15.294117647058824</v>
      </c>
      <c r="O50" s="1">
        <f t="shared" si="7"/>
        <v>15.882352941176471</v>
      </c>
      <c r="P50" s="1">
        <f t="shared" si="7"/>
        <v>16.470588235294116</v>
      </c>
      <c r="Q50" s="1">
        <f t="shared" si="7"/>
        <v>17.058823529411764</v>
      </c>
      <c r="R50" s="1">
        <f t="shared" si="7"/>
        <v>17.647058823529413</v>
      </c>
      <c r="S50" s="1">
        <f t="shared" si="7"/>
        <v>18.235294117647058</v>
      </c>
      <c r="T50" s="1">
        <f t="shared" si="7"/>
        <v>18.823529411764707</v>
      </c>
      <c r="U50" s="1">
        <f t="shared" si="7"/>
        <v>19.411764705882351</v>
      </c>
      <c r="V50" s="1">
        <f t="shared" si="7"/>
        <v>20</v>
      </c>
    </row>
    <row r="51" spans="1:22" x14ac:dyDescent="0.3">
      <c r="A51" s="81"/>
      <c r="B51" s="13" t="str">
        <f t="shared" si="8"/>
        <v>0x23</v>
      </c>
      <c r="C51" s="17">
        <f t="shared" si="5"/>
        <v>35</v>
      </c>
      <c r="D51" s="1">
        <f t="shared" si="4"/>
        <v>9.1428571428571423</v>
      </c>
      <c r="E51" s="1">
        <f t="shared" si="7"/>
        <v>9.7142857142857135</v>
      </c>
      <c r="F51" s="1">
        <f t="shared" si="7"/>
        <v>10.285714285714286</v>
      </c>
      <c r="G51" s="1">
        <f t="shared" si="7"/>
        <v>10.857142857142858</v>
      </c>
      <c r="H51" s="1">
        <f t="shared" si="7"/>
        <v>11.428571428571429</v>
      </c>
      <c r="I51" s="1">
        <f t="shared" si="7"/>
        <v>12</v>
      </c>
      <c r="J51" s="1">
        <f t="shared" si="7"/>
        <v>12.571428571428571</v>
      </c>
      <c r="K51" s="1">
        <f t="shared" si="7"/>
        <v>13.142857142857142</v>
      </c>
      <c r="L51" s="1">
        <f t="shared" si="7"/>
        <v>13.714285714285714</v>
      </c>
      <c r="M51" s="1">
        <f t="shared" si="7"/>
        <v>14.285714285714286</v>
      </c>
      <c r="N51" s="1">
        <f t="shared" si="7"/>
        <v>14.857142857142858</v>
      </c>
      <c r="O51" s="1">
        <f t="shared" si="7"/>
        <v>15.428571428571429</v>
      </c>
      <c r="P51" s="1">
        <f t="shared" si="7"/>
        <v>16</v>
      </c>
      <c r="Q51" s="1">
        <f t="shared" si="7"/>
        <v>16.571428571428573</v>
      </c>
      <c r="R51" s="1">
        <f t="shared" si="7"/>
        <v>17.142857142857142</v>
      </c>
      <c r="S51" s="1">
        <f t="shared" si="7"/>
        <v>17.714285714285715</v>
      </c>
      <c r="T51" s="1">
        <f t="shared" si="7"/>
        <v>18.285714285714285</v>
      </c>
      <c r="U51" s="1">
        <f t="shared" si="7"/>
        <v>18.857142857142858</v>
      </c>
      <c r="V51" s="1">
        <f t="shared" si="7"/>
        <v>19.428571428571427</v>
      </c>
    </row>
    <row r="52" spans="1:22" x14ac:dyDescent="0.3">
      <c r="A52" s="81"/>
      <c r="B52" s="13" t="str">
        <f t="shared" si="8"/>
        <v>0x24</v>
      </c>
      <c r="C52" s="17">
        <f t="shared" si="5"/>
        <v>36</v>
      </c>
      <c r="D52" s="1">
        <f t="shared" si="4"/>
        <v>8.8888888888888893</v>
      </c>
      <c r="E52" s="1">
        <f t="shared" si="7"/>
        <v>9.4444444444444446</v>
      </c>
      <c r="F52" s="1">
        <f t="shared" si="7"/>
        <v>10</v>
      </c>
      <c r="G52" s="1">
        <f t="shared" si="7"/>
        <v>10.555555555555555</v>
      </c>
      <c r="H52" s="1">
        <f t="shared" si="7"/>
        <v>11.111111111111111</v>
      </c>
      <c r="I52" s="1">
        <f t="shared" si="7"/>
        <v>11.666666666666666</v>
      </c>
      <c r="J52" s="1">
        <f t="shared" si="7"/>
        <v>12.222222222222221</v>
      </c>
      <c r="K52" s="1">
        <f t="shared" si="7"/>
        <v>12.777777777777779</v>
      </c>
      <c r="L52" s="1">
        <f t="shared" si="7"/>
        <v>13.333333333333334</v>
      </c>
      <c r="M52" s="1">
        <f t="shared" si="7"/>
        <v>13.888888888888889</v>
      </c>
      <c r="N52" s="1">
        <f t="shared" si="7"/>
        <v>14.444444444444445</v>
      </c>
      <c r="O52" s="1">
        <f t="shared" si="7"/>
        <v>15</v>
      </c>
      <c r="P52" s="1">
        <f t="shared" si="7"/>
        <v>15.555555555555555</v>
      </c>
      <c r="Q52" s="1">
        <f t="shared" si="7"/>
        <v>16.111111111111111</v>
      </c>
      <c r="R52" s="1">
        <f t="shared" si="7"/>
        <v>16.666666666666668</v>
      </c>
      <c r="S52" s="1">
        <f t="shared" si="7"/>
        <v>17.222222222222221</v>
      </c>
      <c r="T52" s="1">
        <f t="shared" si="7"/>
        <v>17.777777777777779</v>
      </c>
      <c r="U52" s="1">
        <f t="shared" si="7"/>
        <v>18.333333333333332</v>
      </c>
      <c r="V52" s="1">
        <f t="shared" si="7"/>
        <v>18.888888888888889</v>
      </c>
    </row>
    <row r="53" spans="1:22" x14ac:dyDescent="0.3">
      <c r="A53" s="81"/>
      <c r="B53" s="13" t="str">
        <f t="shared" si="8"/>
        <v>0x25</v>
      </c>
      <c r="C53" s="17">
        <f t="shared" si="5"/>
        <v>37</v>
      </c>
      <c r="D53" s="1">
        <f t="shared" si="4"/>
        <v>8.6486486486486491</v>
      </c>
      <c r="E53" s="1">
        <f t="shared" si="7"/>
        <v>9.1891891891891895</v>
      </c>
      <c r="F53" s="1">
        <f t="shared" si="7"/>
        <v>9.7297297297297298</v>
      </c>
      <c r="G53" s="1">
        <f t="shared" si="7"/>
        <v>10.27027027027027</v>
      </c>
      <c r="H53" s="1">
        <f t="shared" si="7"/>
        <v>10.810810810810811</v>
      </c>
      <c r="I53" s="1">
        <f t="shared" si="7"/>
        <v>11.351351351351351</v>
      </c>
      <c r="J53" s="1">
        <f t="shared" si="7"/>
        <v>11.891891891891891</v>
      </c>
      <c r="K53" s="1">
        <f t="shared" si="7"/>
        <v>12.432432432432432</v>
      </c>
      <c r="L53" s="1">
        <f t="shared" si="7"/>
        <v>12.972972972972974</v>
      </c>
      <c r="M53" s="1">
        <f t="shared" si="7"/>
        <v>13.513513513513514</v>
      </c>
      <c r="N53" s="1">
        <f t="shared" si="7"/>
        <v>14.054054054054054</v>
      </c>
      <c r="O53" s="1">
        <f t="shared" si="7"/>
        <v>14.594594594594595</v>
      </c>
      <c r="P53" s="1">
        <f t="shared" si="7"/>
        <v>15.135135135135135</v>
      </c>
      <c r="Q53" s="1">
        <f t="shared" si="7"/>
        <v>15.675675675675675</v>
      </c>
      <c r="R53" s="1">
        <f t="shared" si="7"/>
        <v>16.216216216216218</v>
      </c>
      <c r="S53" s="1">
        <f t="shared" si="7"/>
        <v>16.756756756756758</v>
      </c>
      <c r="T53" s="1">
        <f t="shared" si="7"/>
        <v>17.297297297297298</v>
      </c>
      <c r="U53" s="1">
        <f t="shared" si="7"/>
        <v>17.837837837837839</v>
      </c>
      <c r="V53" s="1">
        <f t="shared" si="7"/>
        <v>18.378378378378379</v>
      </c>
    </row>
    <row r="54" spans="1:22" x14ac:dyDescent="0.3">
      <c r="A54" s="81"/>
      <c r="B54" s="13" t="str">
        <f t="shared" si="8"/>
        <v>0x26</v>
      </c>
      <c r="C54" s="17">
        <f t="shared" si="5"/>
        <v>38</v>
      </c>
      <c r="D54" s="1">
        <f t="shared" si="4"/>
        <v>8.4210526315789469</v>
      </c>
      <c r="E54" s="1">
        <f t="shared" si="7"/>
        <v>8.9473684210526319</v>
      </c>
      <c r="F54" s="1">
        <f t="shared" si="7"/>
        <v>9.473684210526315</v>
      </c>
      <c r="G54" s="1">
        <f t="shared" si="7"/>
        <v>10</v>
      </c>
      <c r="H54" s="1">
        <f t="shared" si="7"/>
        <v>10.526315789473685</v>
      </c>
      <c r="I54" s="1">
        <f t="shared" si="7"/>
        <v>11.052631578947368</v>
      </c>
      <c r="J54" s="1">
        <f t="shared" si="7"/>
        <v>11.578947368421053</v>
      </c>
      <c r="K54" s="1">
        <f t="shared" si="7"/>
        <v>12.105263157894736</v>
      </c>
      <c r="L54" s="1">
        <f t="shared" si="7"/>
        <v>12.631578947368421</v>
      </c>
      <c r="M54" s="1">
        <f t="shared" si="7"/>
        <v>13.157894736842104</v>
      </c>
      <c r="N54" s="1">
        <f t="shared" si="7"/>
        <v>13.684210526315789</v>
      </c>
      <c r="O54" s="1">
        <f t="shared" si="7"/>
        <v>14.210526315789474</v>
      </c>
      <c r="P54" s="1">
        <f t="shared" si="7"/>
        <v>14.736842105263158</v>
      </c>
      <c r="Q54" s="1">
        <f t="shared" si="7"/>
        <v>15.263157894736842</v>
      </c>
      <c r="R54" s="1">
        <f t="shared" si="7"/>
        <v>15.789473684210526</v>
      </c>
      <c r="S54" s="1">
        <f t="shared" si="7"/>
        <v>16.315789473684209</v>
      </c>
      <c r="T54" s="1">
        <f t="shared" si="7"/>
        <v>16.842105263157894</v>
      </c>
      <c r="U54" s="1">
        <f t="shared" si="7"/>
        <v>17.368421052631579</v>
      </c>
      <c r="V54" s="1">
        <f t="shared" si="7"/>
        <v>17.894736842105264</v>
      </c>
    </row>
    <row r="55" spans="1:22" x14ac:dyDescent="0.3">
      <c r="A55" s="81"/>
      <c r="B55" s="13" t="str">
        <f t="shared" si="8"/>
        <v>0x27</v>
      </c>
      <c r="C55" s="17">
        <f t="shared" si="5"/>
        <v>39</v>
      </c>
      <c r="D55" s="1">
        <f t="shared" si="4"/>
        <v>8.2051282051282044</v>
      </c>
      <c r="E55" s="1">
        <f t="shared" si="7"/>
        <v>8.7179487179487172</v>
      </c>
      <c r="F55" s="1">
        <f t="shared" si="7"/>
        <v>9.2307692307692299</v>
      </c>
      <c r="G55" s="1">
        <f t="shared" si="7"/>
        <v>9.7435897435897427</v>
      </c>
      <c r="H55" s="1">
        <f t="shared" si="7"/>
        <v>10.256410256410257</v>
      </c>
      <c r="I55" s="1">
        <f t="shared" si="7"/>
        <v>10.76923076923077</v>
      </c>
      <c r="J55" s="1">
        <f t="shared" si="7"/>
        <v>11.282051282051283</v>
      </c>
      <c r="K55" s="1">
        <f t="shared" si="7"/>
        <v>11.794871794871796</v>
      </c>
      <c r="L55" s="1">
        <f t="shared" si="7"/>
        <v>12.307692307692308</v>
      </c>
      <c r="M55" s="1">
        <f t="shared" si="7"/>
        <v>12.820512820512821</v>
      </c>
      <c r="N55" s="1">
        <f t="shared" si="7"/>
        <v>13.333333333333334</v>
      </c>
      <c r="O55" s="1">
        <f t="shared" si="7"/>
        <v>13.846153846153847</v>
      </c>
      <c r="P55" s="1">
        <f t="shared" si="7"/>
        <v>14.358974358974359</v>
      </c>
      <c r="Q55" s="1">
        <f t="shared" si="7"/>
        <v>14.871794871794872</v>
      </c>
      <c r="R55" s="1">
        <f t="shared" si="7"/>
        <v>15.384615384615385</v>
      </c>
      <c r="S55" s="1">
        <f t="shared" si="7"/>
        <v>15.897435897435898</v>
      </c>
      <c r="T55" s="1">
        <f t="shared" si="7"/>
        <v>16.410256410256409</v>
      </c>
      <c r="U55" s="1">
        <f t="shared" si="7"/>
        <v>16.923076923076923</v>
      </c>
      <c r="V55" s="1">
        <f t="shared" si="7"/>
        <v>17.435897435897434</v>
      </c>
    </row>
    <row r="56" spans="1:22" x14ac:dyDescent="0.3">
      <c r="A56" s="81"/>
      <c r="B56" s="13" t="str">
        <f t="shared" si="8"/>
        <v>0x28</v>
      </c>
      <c r="C56" s="17">
        <f t="shared" si="5"/>
        <v>40</v>
      </c>
      <c r="D56" s="1">
        <f t="shared" si="4"/>
        <v>8</v>
      </c>
      <c r="E56" s="1">
        <f t="shared" si="7"/>
        <v>8.5</v>
      </c>
      <c r="F56" s="1">
        <f t="shared" si="7"/>
        <v>9</v>
      </c>
      <c r="G56" s="1">
        <f t="shared" si="7"/>
        <v>9.5</v>
      </c>
      <c r="H56" s="1">
        <f t="shared" si="7"/>
        <v>10</v>
      </c>
      <c r="I56" s="1">
        <f t="shared" si="7"/>
        <v>10.5</v>
      </c>
      <c r="J56" s="1">
        <f t="shared" si="7"/>
        <v>11</v>
      </c>
      <c r="K56" s="1">
        <f t="shared" si="7"/>
        <v>11.5</v>
      </c>
      <c r="L56" s="1">
        <f t="shared" si="7"/>
        <v>12</v>
      </c>
      <c r="M56" s="1">
        <f t="shared" si="7"/>
        <v>12.5</v>
      </c>
      <c r="N56" s="1">
        <f t="shared" si="7"/>
        <v>13</v>
      </c>
      <c r="O56" s="1">
        <f t="shared" si="7"/>
        <v>13.5</v>
      </c>
      <c r="P56" s="1">
        <f t="shared" si="7"/>
        <v>14</v>
      </c>
      <c r="Q56" s="1">
        <f t="shared" si="7"/>
        <v>14.5</v>
      </c>
      <c r="R56" s="1">
        <f t="shared" si="7"/>
        <v>15</v>
      </c>
      <c r="S56" s="1">
        <f t="shared" si="7"/>
        <v>15.5</v>
      </c>
      <c r="T56" s="1">
        <f t="shared" si="7"/>
        <v>16</v>
      </c>
      <c r="U56" s="1">
        <f t="shared" si="7"/>
        <v>16.5</v>
      </c>
      <c r="V56" s="1">
        <f t="shared" si="7"/>
        <v>17</v>
      </c>
    </row>
    <row r="57" spans="1:22" x14ac:dyDescent="0.3">
      <c r="A57" s="81"/>
      <c r="B57" s="13" t="str">
        <f t="shared" si="8"/>
        <v>0x29</v>
      </c>
      <c r="C57" s="17">
        <f t="shared" si="5"/>
        <v>41</v>
      </c>
      <c r="D57" s="1">
        <f t="shared" si="4"/>
        <v>7.8048780487804876</v>
      </c>
      <c r="E57" s="1">
        <f t="shared" si="7"/>
        <v>8.2926829268292686</v>
      </c>
      <c r="F57" s="1">
        <f t="shared" si="7"/>
        <v>8.7804878048780495</v>
      </c>
      <c r="G57" s="1">
        <f t="shared" si="7"/>
        <v>9.2682926829268286</v>
      </c>
      <c r="H57" s="1">
        <f t="shared" si="7"/>
        <v>9.7560975609756095</v>
      </c>
      <c r="I57" s="1">
        <f t="shared" si="7"/>
        <v>10.24390243902439</v>
      </c>
      <c r="J57" s="1">
        <f t="shared" si="7"/>
        <v>10.731707317073171</v>
      </c>
      <c r="K57" s="1">
        <f t="shared" si="7"/>
        <v>11.219512195121951</v>
      </c>
      <c r="L57" s="1">
        <f t="shared" si="7"/>
        <v>11.707317073170731</v>
      </c>
      <c r="M57" s="1">
        <f t="shared" si="7"/>
        <v>12.195121951219512</v>
      </c>
      <c r="N57" s="1">
        <f t="shared" si="7"/>
        <v>12.682926829268293</v>
      </c>
      <c r="O57" s="1">
        <f t="shared" si="7"/>
        <v>13.170731707317072</v>
      </c>
      <c r="P57" s="1">
        <f t="shared" si="7"/>
        <v>13.658536585365853</v>
      </c>
      <c r="Q57" s="1">
        <f t="shared" si="7"/>
        <v>14.146341463414634</v>
      </c>
      <c r="R57" s="1">
        <f t="shared" si="7"/>
        <v>14.634146341463415</v>
      </c>
      <c r="S57" s="1">
        <f t="shared" si="7"/>
        <v>15.121951219512194</v>
      </c>
      <c r="T57" s="1">
        <f t="shared" si="7"/>
        <v>15.609756097560975</v>
      </c>
      <c r="U57" s="1">
        <f t="shared" si="7"/>
        <v>16.097560975609756</v>
      </c>
      <c r="V57" s="1">
        <f t="shared" si="7"/>
        <v>16.585365853658537</v>
      </c>
    </row>
    <row r="58" spans="1:22" x14ac:dyDescent="0.3">
      <c r="A58" s="81"/>
      <c r="B58" s="13" t="str">
        <f t="shared" si="8"/>
        <v>0x2A</v>
      </c>
      <c r="C58" s="17">
        <f t="shared" si="5"/>
        <v>42</v>
      </c>
      <c r="D58" s="1">
        <f t="shared" si="4"/>
        <v>7.6190476190476186</v>
      </c>
      <c r="E58" s="1">
        <f t="shared" si="7"/>
        <v>8.0952380952380949</v>
      </c>
      <c r="F58" s="1">
        <f t="shared" si="7"/>
        <v>8.5714285714285712</v>
      </c>
      <c r="G58" s="1">
        <f t="shared" si="7"/>
        <v>9.0476190476190474</v>
      </c>
      <c r="H58" s="1">
        <f t="shared" si="7"/>
        <v>9.5238095238095237</v>
      </c>
      <c r="I58" s="1">
        <f t="shared" si="7"/>
        <v>10</v>
      </c>
      <c r="J58" s="1">
        <f t="shared" si="7"/>
        <v>10.476190476190476</v>
      </c>
      <c r="K58" s="1">
        <f t="shared" si="7"/>
        <v>10.952380952380953</v>
      </c>
      <c r="L58" s="1">
        <f t="shared" si="7"/>
        <v>11.428571428571429</v>
      </c>
      <c r="M58" s="1">
        <f t="shared" si="7"/>
        <v>11.904761904761905</v>
      </c>
      <c r="N58" s="1">
        <f t="shared" si="7"/>
        <v>12.380952380952381</v>
      </c>
      <c r="O58" s="1">
        <f t="shared" si="7"/>
        <v>12.857142857142858</v>
      </c>
      <c r="P58" s="1">
        <f t="shared" si="7"/>
        <v>13.333333333333334</v>
      </c>
      <c r="Q58" s="1">
        <f t="shared" si="7"/>
        <v>13.80952380952381</v>
      </c>
      <c r="R58" s="1">
        <f t="shared" si="7"/>
        <v>14.285714285714286</v>
      </c>
      <c r="S58" s="1">
        <f t="shared" si="7"/>
        <v>14.761904761904763</v>
      </c>
      <c r="T58" s="1">
        <f t="shared" si="7"/>
        <v>15.238095238095237</v>
      </c>
      <c r="U58" s="1">
        <f t="shared" si="7"/>
        <v>15.714285714285714</v>
      </c>
      <c r="V58" s="1">
        <f t="shared" si="7"/>
        <v>16.19047619047619</v>
      </c>
    </row>
    <row r="59" spans="1:22" x14ac:dyDescent="0.3">
      <c r="A59" s="81"/>
      <c r="B59" s="13" t="str">
        <f t="shared" si="8"/>
        <v>0x2B</v>
      </c>
      <c r="C59" s="17">
        <f t="shared" si="5"/>
        <v>43</v>
      </c>
      <c r="D59" s="1">
        <f t="shared" si="4"/>
        <v>7.441860465116279</v>
      </c>
      <c r="E59" s="1">
        <f t="shared" si="7"/>
        <v>7.9069767441860463</v>
      </c>
      <c r="F59" s="1">
        <f t="shared" si="7"/>
        <v>8.3720930232558146</v>
      </c>
      <c r="G59" s="1">
        <f t="shared" si="7"/>
        <v>8.8372093023255811</v>
      </c>
      <c r="H59" s="1">
        <f t="shared" si="7"/>
        <v>9.3023255813953494</v>
      </c>
      <c r="I59" s="1">
        <f t="shared" si="7"/>
        <v>9.7674418604651159</v>
      </c>
      <c r="J59" s="1">
        <f t="shared" si="7"/>
        <v>10.232558139534884</v>
      </c>
      <c r="K59" s="1">
        <f t="shared" si="7"/>
        <v>10.697674418604651</v>
      </c>
      <c r="L59" s="1">
        <f t="shared" si="7"/>
        <v>11.162790697674419</v>
      </c>
      <c r="M59" s="1">
        <f t="shared" si="7"/>
        <v>11.627906976744185</v>
      </c>
      <c r="N59" s="1">
        <f t="shared" si="7"/>
        <v>12.093023255813954</v>
      </c>
      <c r="O59" s="1">
        <f t="shared" si="7"/>
        <v>12.55813953488372</v>
      </c>
      <c r="P59" s="1">
        <f t="shared" si="7"/>
        <v>13.023255813953488</v>
      </c>
      <c r="Q59" s="1">
        <f t="shared" si="7"/>
        <v>13.488372093023257</v>
      </c>
      <c r="R59" s="1">
        <f t="shared" si="7"/>
        <v>13.953488372093023</v>
      </c>
      <c r="S59" s="1">
        <f t="shared" si="7"/>
        <v>14.418604651162791</v>
      </c>
      <c r="T59" s="1">
        <f t="shared" si="7"/>
        <v>14.883720930232558</v>
      </c>
      <c r="U59" s="1">
        <f t="shared" si="7"/>
        <v>15.348837209302326</v>
      </c>
      <c r="V59" s="1">
        <f t="shared" si="7"/>
        <v>15.813953488372093</v>
      </c>
    </row>
    <row r="60" spans="1:22" x14ac:dyDescent="0.3">
      <c r="A60" s="81"/>
      <c r="B60" s="13" t="str">
        <f t="shared" si="8"/>
        <v>0x2C</v>
      </c>
      <c r="C60" s="17">
        <f t="shared" si="5"/>
        <v>44</v>
      </c>
      <c r="D60" s="1">
        <f t="shared" si="4"/>
        <v>7.2727272727272725</v>
      </c>
      <c r="E60" s="1">
        <f t="shared" si="7"/>
        <v>7.7272727272727275</v>
      </c>
      <c r="F60" s="1">
        <f t="shared" si="7"/>
        <v>8.1818181818181817</v>
      </c>
      <c r="G60" s="1">
        <f t="shared" si="7"/>
        <v>8.6363636363636367</v>
      </c>
      <c r="H60" s="1">
        <f t="shared" si="7"/>
        <v>9.0909090909090917</v>
      </c>
      <c r="I60" s="1">
        <f t="shared" si="7"/>
        <v>9.545454545454545</v>
      </c>
      <c r="J60" s="1">
        <f t="shared" si="7"/>
        <v>10</v>
      </c>
      <c r="K60" s="1">
        <f t="shared" ref="E60:V74" si="9">($F$10*(K$16 + ($F$12/ POWER(2,12) ) ) ) /($C60*2)</f>
        <v>10.454545454545455</v>
      </c>
      <c r="L60" s="1">
        <f t="shared" si="9"/>
        <v>10.909090909090908</v>
      </c>
      <c r="M60" s="1">
        <f t="shared" si="9"/>
        <v>11.363636363636363</v>
      </c>
      <c r="N60" s="1">
        <f t="shared" si="9"/>
        <v>11.818181818181818</v>
      </c>
      <c r="O60" s="1">
        <f t="shared" si="9"/>
        <v>12.272727272727273</v>
      </c>
      <c r="P60" s="1">
        <f t="shared" si="9"/>
        <v>12.727272727272727</v>
      </c>
      <c r="Q60" s="1">
        <f t="shared" si="9"/>
        <v>13.181818181818182</v>
      </c>
      <c r="R60" s="1">
        <f t="shared" si="9"/>
        <v>13.636363636363637</v>
      </c>
      <c r="S60" s="1">
        <f t="shared" si="9"/>
        <v>14.090909090909092</v>
      </c>
      <c r="T60" s="1">
        <f t="shared" si="9"/>
        <v>14.545454545454545</v>
      </c>
      <c r="U60" s="1">
        <f t="shared" si="9"/>
        <v>15</v>
      </c>
      <c r="V60" s="1">
        <f t="shared" si="9"/>
        <v>15.454545454545455</v>
      </c>
    </row>
    <row r="61" spans="1:22" x14ac:dyDescent="0.3">
      <c r="A61" s="81"/>
      <c r="B61" s="13" t="str">
        <f t="shared" si="8"/>
        <v>0x2D</v>
      </c>
      <c r="C61" s="17">
        <f t="shared" si="5"/>
        <v>45</v>
      </c>
      <c r="D61" s="1">
        <f t="shared" si="4"/>
        <v>7.1111111111111107</v>
      </c>
      <c r="E61" s="1">
        <f t="shared" si="9"/>
        <v>7.5555555555555554</v>
      </c>
      <c r="F61" s="1">
        <f t="shared" si="9"/>
        <v>8</v>
      </c>
      <c r="G61" s="1">
        <f t="shared" si="9"/>
        <v>8.4444444444444446</v>
      </c>
      <c r="H61" s="1">
        <f t="shared" si="9"/>
        <v>8.8888888888888893</v>
      </c>
      <c r="I61" s="1">
        <f t="shared" si="9"/>
        <v>9.3333333333333339</v>
      </c>
      <c r="J61" s="1">
        <f t="shared" si="9"/>
        <v>9.7777777777777786</v>
      </c>
      <c r="K61" s="1">
        <f t="shared" si="9"/>
        <v>10.222222222222221</v>
      </c>
      <c r="L61" s="1">
        <f t="shared" si="9"/>
        <v>10.666666666666666</v>
      </c>
      <c r="M61" s="1">
        <f t="shared" si="9"/>
        <v>11.111111111111111</v>
      </c>
      <c r="N61" s="1">
        <f t="shared" si="9"/>
        <v>11.555555555555555</v>
      </c>
      <c r="O61" s="1">
        <f t="shared" si="9"/>
        <v>12</v>
      </c>
      <c r="P61" s="1">
        <f t="shared" si="9"/>
        <v>12.444444444444445</v>
      </c>
      <c r="Q61" s="1">
        <f t="shared" si="9"/>
        <v>12.888888888888889</v>
      </c>
      <c r="R61" s="1">
        <f t="shared" si="9"/>
        <v>13.333333333333334</v>
      </c>
      <c r="S61" s="1">
        <f t="shared" si="9"/>
        <v>13.777777777777779</v>
      </c>
      <c r="T61" s="1">
        <f t="shared" si="9"/>
        <v>14.222222222222221</v>
      </c>
      <c r="U61" s="1">
        <f t="shared" si="9"/>
        <v>14.666666666666666</v>
      </c>
      <c r="V61" s="1">
        <f t="shared" si="9"/>
        <v>15.111111111111111</v>
      </c>
    </row>
    <row r="62" spans="1:22" x14ac:dyDescent="0.3">
      <c r="A62" s="81"/>
      <c r="B62" s="13" t="str">
        <f t="shared" si="8"/>
        <v>0x2E</v>
      </c>
      <c r="C62" s="17">
        <f t="shared" si="5"/>
        <v>46</v>
      </c>
      <c r="D62" s="1">
        <f t="shared" si="4"/>
        <v>6.9565217391304346</v>
      </c>
      <c r="E62" s="1">
        <f t="shared" si="9"/>
        <v>7.3913043478260869</v>
      </c>
      <c r="F62" s="1">
        <f t="shared" si="9"/>
        <v>7.8260869565217392</v>
      </c>
      <c r="G62" s="1">
        <f t="shared" si="9"/>
        <v>8.2608695652173907</v>
      </c>
      <c r="H62" s="1">
        <f t="shared" si="9"/>
        <v>8.695652173913043</v>
      </c>
      <c r="I62" s="1">
        <f t="shared" si="9"/>
        <v>9.1304347826086953</v>
      </c>
      <c r="J62" s="1">
        <f t="shared" si="9"/>
        <v>9.5652173913043477</v>
      </c>
      <c r="K62" s="1">
        <f t="shared" si="9"/>
        <v>10</v>
      </c>
      <c r="L62" s="1">
        <f t="shared" si="9"/>
        <v>10.434782608695652</v>
      </c>
      <c r="M62" s="1">
        <f t="shared" si="9"/>
        <v>10.869565217391305</v>
      </c>
      <c r="N62" s="1">
        <f t="shared" si="9"/>
        <v>11.304347826086957</v>
      </c>
      <c r="O62" s="1">
        <f t="shared" si="9"/>
        <v>11.739130434782609</v>
      </c>
      <c r="P62" s="1">
        <f t="shared" si="9"/>
        <v>12.173913043478262</v>
      </c>
      <c r="Q62" s="1">
        <f t="shared" si="9"/>
        <v>12.608695652173912</v>
      </c>
      <c r="R62" s="1">
        <f t="shared" si="9"/>
        <v>13.043478260869565</v>
      </c>
      <c r="S62" s="1">
        <f t="shared" si="9"/>
        <v>13.478260869565217</v>
      </c>
      <c r="T62" s="1">
        <f t="shared" si="9"/>
        <v>13.913043478260869</v>
      </c>
      <c r="U62" s="1">
        <f t="shared" si="9"/>
        <v>14.347826086956522</v>
      </c>
      <c r="V62" s="1">
        <f t="shared" si="9"/>
        <v>14.782608695652174</v>
      </c>
    </row>
    <row r="63" spans="1:22" x14ac:dyDescent="0.3">
      <c r="A63" s="81"/>
      <c r="B63" s="13" t="str">
        <f t="shared" si="8"/>
        <v>0x2F</v>
      </c>
      <c r="C63" s="17">
        <f t="shared" si="5"/>
        <v>47</v>
      </c>
      <c r="D63" s="1">
        <f t="shared" si="4"/>
        <v>6.8085106382978724</v>
      </c>
      <c r="E63" s="1">
        <f t="shared" si="9"/>
        <v>7.2340425531914896</v>
      </c>
      <c r="F63" s="1">
        <f t="shared" si="9"/>
        <v>7.6595744680851068</v>
      </c>
      <c r="G63" s="1">
        <f t="shared" si="9"/>
        <v>8.085106382978724</v>
      </c>
      <c r="H63" s="1">
        <f t="shared" si="9"/>
        <v>8.5106382978723403</v>
      </c>
      <c r="I63" s="1">
        <f t="shared" si="9"/>
        <v>8.9361702127659566</v>
      </c>
      <c r="J63" s="1">
        <f t="shared" si="9"/>
        <v>9.3617021276595747</v>
      </c>
      <c r="K63" s="1">
        <f t="shared" si="9"/>
        <v>9.787234042553191</v>
      </c>
      <c r="L63" s="1">
        <f t="shared" si="9"/>
        <v>10.212765957446809</v>
      </c>
      <c r="M63" s="1">
        <f t="shared" si="9"/>
        <v>10.638297872340425</v>
      </c>
      <c r="N63" s="1">
        <f t="shared" si="9"/>
        <v>11.063829787234043</v>
      </c>
      <c r="O63" s="1">
        <f t="shared" si="9"/>
        <v>11.48936170212766</v>
      </c>
      <c r="P63" s="1">
        <f t="shared" si="9"/>
        <v>11.914893617021276</v>
      </c>
      <c r="Q63" s="1">
        <f t="shared" si="9"/>
        <v>12.340425531914894</v>
      </c>
      <c r="R63" s="1">
        <f t="shared" si="9"/>
        <v>12.76595744680851</v>
      </c>
      <c r="S63" s="1">
        <f t="shared" si="9"/>
        <v>13.191489361702128</v>
      </c>
      <c r="T63" s="1">
        <f t="shared" si="9"/>
        <v>13.617021276595745</v>
      </c>
      <c r="U63" s="1">
        <f t="shared" si="9"/>
        <v>14.042553191489361</v>
      </c>
      <c r="V63" s="1">
        <f t="shared" si="9"/>
        <v>14.468085106382979</v>
      </c>
    </row>
    <row r="64" spans="1:22" x14ac:dyDescent="0.3">
      <c r="A64" s="81"/>
      <c r="B64" s="13" t="str">
        <f t="shared" si="8"/>
        <v>0x30</v>
      </c>
      <c r="C64" s="17">
        <f t="shared" si="5"/>
        <v>48</v>
      </c>
      <c r="D64" s="1">
        <f t="shared" si="4"/>
        <v>6.666666666666667</v>
      </c>
      <c r="E64" s="1">
        <f t="shared" si="9"/>
        <v>7.083333333333333</v>
      </c>
      <c r="F64" s="1">
        <f t="shared" si="9"/>
        <v>7.5</v>
      </c>
      <c r="G64" s="1">
        <f t="shared" si="9"/>
        <v>7.916666666666667</v>
      </c>
      <c r="H64" s="1">
        <f t="shared" si="9"/>
        <v>8.3333333333333339</v>
      </c>
      <c r="I64" s="1">
        <f t="shared" si="9"/>
        <v>8.75</v>
      </c>
      <c r="J64" s="1">
        <f t="shared" si="9"/>
        <v>9.1666666666666661</v>
      </c>
      <c r="K64" s="1">
        <f t="shared" si="9"/>
        <v>9.5833333333333339</v>
      </c>
      <c r="L64" s="1">
        <f t="shared" si="9"/>
        <v>10</v>
      </c>
      <c r="M64" s="1">
        <f t="shared" si="9"/>
        <v>10.416666666666666</v>
      </c>
      <c r="N64" s="1">
        <f t="shared" si="9"/>
        <v>10.833333333333334</v>
      </c>
      <c r="O64" s="1">
        <f t="shared" si="9"/>
        <v>11.25</v>
      </c>
      <c r="P64" s="1">
        <f t="shared" si="9"/>
        <v>11.666666666666666</v>
      </c>
      <c r="Q64" s="1">
        <f t="shared" si="9"/>
        <v>12.083333333333334</v>
      </c>
      <c r="R64" s="1">
        <f t="shared" si="9"/>
        <v>12.5</v>
      </c>
      <c r="S64" s="1">
        <f t="shared" si="9"/>
        <v>12.916666666666666</v>
      </c>
      <c r="T64" s="1">
        <f t="shared" si="9"/>
        <v>13.333333333333334</v>
      </c>
      <c r="U64" s="1">
        <f t="shared" si="9"/>
        <v>13.75</v>
      </c>
      <c r="V64" s="1">
        <f t="shared" si="9"/>
        <v>14.166666666666666</v>
      </c>
    </row>
    <row r="65" spans="1:22" x14ac:dyDescent="0.3">
      <c r="A65" s="81"/>
      <c r="B65" s="13" t="str">
        <f t="shared" si="8"/>
        <v>0x31</v>
      </c>
      <c r="C65" s="17">
        <f t="shared" si="5"/>
        <v>49</v>
      </c>
      <c r="D65" s="1">
        <f t="shared" si="4"/>
        <v>6.5306122448979593</v>
      </c>
      <c r="E65" s="1">
        <f t="shared" si="9"/>
        <v>6.9387755102040813</v>
      </c>
      <c r="F65" s="1">
        <f t="shared" si="9"/>
        <v>7.3469387755102042</v>
      </c>
      <c r="G65" s="1">
        <f t="shared" si="9"/>
        <v>7.7551020408163263</v>
      </c>
      <c r="H65" s="1">
        <f t="shared" si="9"/>
        <v>8.1632653061224492</v>
      </c>
      <c r="I65" s="1">
        <f t="shared" si="9"/>
        <v>8.5714285714285712</v>
      </c>
      <c r="J65" s="1">
        <f t="shared" si="9"/>
        <v>8.9795918367346932</v>
      </c>
      <c r="K65" s="1">
        <f t="shared" si="9"/>
        <v>9.387755102040817</v>
      </c>
      <c r="L65" s="1">
        <f t="shared" si="9"/>
        <v>9.795918367346939</v>
      </c>
      <c r="M65" s="1">
        <f t="shared" si="9"/>
        <v>10.204081632653061</v>
      </c>
      <c r="N65" s="1">
        <f t="shared" si="9"/>
        <v>10.612244897959183</v>
      </c>
      <c r="O65" s="1">
        <f t="shared" si="9"/>
        <v>11.020408163265307</v>
      </c>
      <c r="P65" s="1">
        <f t="shared" si="9"/>
        <v>11.428571428571429</v>
      </c>
      <c r="Q65" s="1">
        <f t="shared" si="9"/>
        <v>11.836734693877551</v>
      </c>
      <c r="R65" s="1">
        <f t="shared" si="9"/>
        <v>12.244897959183673</v>
      </c>
      <c r="S65" s="1">
        <f t="shared" si="9"/>
        <v>12.653061224489797</v>
      </c>
      <c r="T65" s="1">
        <f t="shared" si="9"/>
        <v>13.061224489795919</v>
      </c>
      <c r="U65" s="1">
        <f t="shared" si="9"/>
        <v>13.469387755102041</v>
      </c>
      <c r="V65" s="1">
        <f t="shared" si="9"/>
        <v>13.877551020408163</v>
      </c>
    </row>
    <row r="66" spans="1:22" x14ac:dyDescent="0.3">
      <c r="A66" s="81"/>
      <c r="B66" s="13" t="str">
        <f t="shared" si="8"/>
        <v>0x32</v>
      </c>
      <c r="C66" s="17">
        <f t="shared" si="5"/>
        <v>50</v>
      </c>
      <c r="D66" s="1">
        <f t="shared" si="4"/>
        <v>6.4</v>
      </c>
      <c r="E66" s="1">
        <f t="shared" si="9"/>
        <v>6.8</v>
      </c>
      <c r="F66" s="1">
        <f t="shared" si="9"/>
        <v>7.2</v>
      </c>
      <c r="G66" s="1">
        <f t="shared" si="9"/>
        <v>7.6</v>
      </c>
      <c r="H66" s="1">
        <f t="shared" si="9"/>
        <v>8</v>
      </c>
      <c r="I66" s="1">
        <f t="shared" si="9"/>
        <v>8.4</v>
      </c>
      <c r="J66" s="1">
        <f t="shared" si="9"/>
        <v>8.8000000000000007</v>
      </c>
      <c r="K66" s="1">
        <f t="shared" si="9"/>
        <v>9.1999999999999993</v>
      </c>
      <c r="L66" s="1">
        <f t="shared" si="9"/>
        <v>9.6</v>
      </c>
      <c r="M66" s="1">
        <f t="shared" si="9"/>
        <v>10</v>
      </c>
      <c r="N66" s="1">
        <f t="shared" si="9"/>
        <v>10.4</v>
      </c>
      <c r="O66" s="1">
        <f t="shared" si="9"/>
        <v>10.8</v>
      </c>
      <c r="P66" s="1">
        <f t="shared" si="9"/>
        <v>11.2</v>
      </c>
      <c r="Q66" s="1">
        <f t="shared" si="9"/>
        <v>11.6</v>
      </c>
      <c r="R66" s="1">
        <f t="shared" si="9"/>
        <v>12</v>
      </c>
      <c r="S66" s="1">
        <f t="shared" si="9"/>
        <v>12.4</v>
      </c>
      <c r="T66" s="1">
        <f t="shared" si="9"/>
        <v>12.8</v>
      </c>
      <c r="U66" s="1">
        <f t="shared" si="9"/>
        <v>13.2</v>
      </c>
      <c r="V66" s="1">
        <f t="shared" si="9"/>
        <v>13.6</v>
      </c>
    </row>
    <row r="67" spans="1:22" x14ac:dyDescent="0.3">
      <c r="A67" s="81"/>
      <c r="B67" s="13" t="str">
        <f t="shared" si="8"/>
        <v>0x33</v>
      </c>
      <c r="C67" s="17">
        <f t="shared" si="5"/>
        <v>51</v>
      </c>
      <c r="D67" s="1">
        <f t="shared" si="4"/>
        <v>6.2745098039215685</v>
      </c>
      <c r="E67" s="1">
        <f t="shared" si="9"/>
        <v>6.666666666666667</v>
      </c>
      <c r="F67" s="1">
        <f t="shared" si="9"/>
        <v>7.0588235294117645</v>
      </c>
      <c r="G67" s="1">
        <f t="shared" si="9"/>
        <v>7.4509803921568629</v>
      </c>
      <c r="H67" s="1">
        <f t="shared" si="9"/>
        <v>7.8431372549019605</v>
      </c>
      <c r="I67" s="1">
        <f t="shared" si="9"/>
        <v>8.235294117647058</v>
      </c>
      <c r="J67" s="1">
        <f t="shared" si="9"/>
        <v>8.6274509803921564</v>
      </c>
      <c r="K67" s="1">
        <f t="shared" si="9"/>
        <v>9.0196078431372548</v>
      </c>
      <c r="L67" s="1">
        <f t="shared" si="9"/>
        <v>9.4117647058823533</v>
      </c>
      <c r="M67" s="1">
        <f t="shared" si="9"/>
        <v>9.8039215686274517</v>
      </c>
      <c r="N67" s="1">
        <f t="shared" si="9"/>
        <v>10.196078431372548</v>
      </c>
      <c r="O67" s="1">
        <f t="shared" si="9"/>
        <v>10.588235294117647</v>
      </c>
      <c r="P67" s="1">
        <f t="shared" si="9"/>
        <v>10.980392156862745</v>
      </c>
      <c r="Q67" s="1">
        <f t="shared" si="9"/>
        <v>11.372549019607844</v>
      </c>
      <c r="R67" s="1">
        <f t="shared" si="9"/>
        <v>11.764705882352942</v>
      </c>
      <c r="S67" s="1">
        <f t="shared" si="9"/>
        <v>12.156862745098039</v>
      </c>
      <c r="T67" s="1">
        <f t="shared" si="9"/>
        <v>12.549019607843137</v>
      </c>
      <c r="U67" s="1">
        <f t="shared" si="9"/>
        <v>12.941176470588236</v>
      </c>
      <c r="V67" s="1">
        <f t="shared" si="9"/>
        <v>13.333333333333334</v>
      </c>
    </row>
    <row r="68" spans="1:22" x14ac:dyDescent="0.3">
      <c r="A68" s="81"/>
      <c r="B68" s="13" t="str">
        <f t="shared" si="8"/>
        <v>0x34</v>
      </c>
      <c r="C68" s="17">
        <f t="shared" si="5"/>
        <v>52</v>
      </c>
      <c r="D68" s="1">
        <f t="shared" si="4"/>
        <v>6.1538461538461542</v>
      </c>
      <c r="E68" s="1">
        <f t="shared" si="9"/>
        <v>6.5384615384615383</v>
      </c>
      <c r="F68" s="1">
        <f t="shared" si="9"/>
        <v>6.9230769230769234</v>
      </c>
      <c r="G68" s="1">
        <f t="shared" si="9"/>
        <v>7.3076923076923075</v>
      </c>
      <c r="H68" s="1">
        <f t="shared" si="9"/>
        <v>7.6923076923076925</v>
      </c>
      <c r="I68" s="1">
        <f t="shared" si="9"/>
        <v>8.0769230769230766</v>
      </c>
      <c r="J68" s="1">
        <f t="shared" si="9"/>
        <v>8.4615384615384617</v>
      </c>
      <c r="K68" s="1">
        <f t="shared" si="9"/>
        <v>8.8461538461538467</v>
      </c>
      <c r="L68" s="1">
        <f t="shared" si="9"/>
        <v>9.2307692307692299</v>
      </c>
      <c r="M68" s="1">
        <f t="shared" si="9"/>
        <v>9.615384615384615</v>
      </c>
      <c r="N68" s="1">
        <f t="shared" si="9"/>
        <v>10</v>
      </c>
      <c r="O68" s="1">
        <f t="shared" si="9"/>
        <v>10.384615384615385</v>
      </c>
      <c r="P68" s="1">
        <f t="shared" si="9"/>
        <v>10.76923076923077</v>
      </c>
      <c r="Q68" s="1">
        <f t="shared" si="9"/>
        <v>11.153846153846153</v>
      </c>
      <c r="R68" s="1">
        <f t="shared" si="9"/>
        <v>11.538461538461538</v>
      </c>
      <c r="S68" s="1">
        <f t="shared" si="9"/>
        <v>11.923076923076923</v>
      </c>
      <c r="T68" s="1">
        <f t="shared" si="9"/>
        <v>12.307692307692308</v>
      </c>
      <c r="U68" s="1">
        <f t="shared" si="9"/>
        <v>12.692307692307692</v>
      </c>
      <c r="V68" s="1">
        <f t="shared" si="9"/>
        <v>13.076923076923077</v>
      </c>
    </row>
    <row r="69" spans="1:22" x14ac:dyDescent="0.3">
      <c r="A69" s="81"/>
      <c r="B69" s="13" t="str">
        <f t="shared" si="8"/>
        <v>0x35</v>
      </c>
      <c r="C69" s="17">
        <f t="shared" si="5"/>
        <v>53</v>
      </c>
      <c r="D69" s="1">
        <f t="shared" si="4"/>
        <v>6.0377358490566042</v>
      </c>
      <c r="E69" s="1">
        <f t="shared" si="9"/>
        <v>6.4150943396226419</v>
      </c>
      <c r="F69" s="1">
        <f t="shared" si="9"/>
        <v>6.7924528301886795</v>
      </c>
      <c r="G69" s="1">
        <f t="shared" si="9"/>
        <v>7.1698113207547172</v>
      </c>
      <c r="H69" s="1">
        <f t="shared" si="9"/>
        <v>7.5471698113207548</v>
      </c>
      <c r="I69" s="1">
        <f t="shared" si="9"/>
        <v>7.9245283018867925</v>
      </c>
      <c r="J69" s="1">
        <f t="shared" si="9"/>
        <v>8.3018867924528301</v>
      </c>
      <c r="K69" s="1">
        <f t="shared" si="9"/>
        <v>8.6792452830188687</v>
      </c>
      <c r="L69" s="1">
        <f t="shared" si="9"/>
        <v>9.0566037735849054</v>
      </c>
      <c r="M69" s="1">
        <f t="shared" si="9"/>
        <v>9.433962264150944</v>
      </c>
      <c r="N69" s="1">
        <f t="shared" si="9"/>
        <v>9.8113207547169807</v>
      </c>
      <c r="O69" s="1">
        <f t="shared" si="9"/>
        <v>10.188679245283019</v>
      </c>
      <c r="P69" s="1">
        <f t="shared" si="9"/>
        <v>10.566037735849056</v>
      </c>
      <c r="Q69" s="1">
        <f t="shared" si="9"/>
        <v>10.943396226415095</v>
      </c>
      <c r="R69" s="1">
        <f t="shared" si="9"/>
        <v>11.320754716981131</v>
      </c>
      <c r="S69" s="1">
        <f t="shared" si="9"/>
        <v>11.69811320754717</v>
      </c>
      <c r="T69" s="1">
        <f t="shared" si="9"/>
        <v>12.075471698113208</v>
      </c>
      <c r="U69" s="1">
        <f t="shared" si="9"/>
        <v>12.452830188679245</v>
      </c>
      <c r="V69" s="1">
        <f t="shared" si="9"/>
        <v>12.830188679245284</v>
      </c>
    </row>
    <row r="70" spans="1:22" x14ac:dyDescent="0.3">
      <c r="A70" s="81"/>
      <c r="B70" s="13" t="str">
        <f t="shared" si="8"/>
        <v>0x36</v>
      </c>
      <c r="C70" s="17">
        <f t="shared" si="5"/>
        <v>54</v>
      </c>
      <c r="D70" s="1">
        <f t="shared" si="4"/>
        <v>5.9259259259259256</v>
      </c>
      <c r="E70" s="1">
        <f t="shared" si="9"/>
        <v>6.2962962962962967</v>
      </c>
      <c r="F70" s="1">
        <f t="shared" si="9"/>
        <v>6.666666666666667</v>
      </c>
      <c r="G70" s="1">
        <f t="shared" si="9"/>
        <v>7.0370370370370372</v>
      </c>
      <c r="H70" s="1">
        <f t="shared" si="9"/>
        <v>7.4074074074074074</v>
      </c>
      <c r="I70" s="1">
        <f t="shared" si="9"/>
        <v>7.7777777777777777</v>
      </c>
      <c r="J70" s="1">
        <f t="shared" si="9"/>
        <v>8.1481481481481488</v>
      </c>
      <c r="K70" s="1">
        <f t="shared" si="9"/>
        <v>8.518518518518519</v>
      </c>
      <c r="L70" s="1">
        <f t="shared" si="9"/>
        <v>8.8888888888888893</v>
      </c>
      <c r="M70" s="1">
        <f t="shared" si="9"/>
        <v>9.2592592592592595</v>
      </c>
      <c r="N70" s="1">
        <f t="shared" si="9"/>
        <v>9.6296296296296298</v>
      </c>
      <c r="O70" s="1">
        <f t="shared" si="9"/>
        <v>10</v>
      </c>
      <c r="P70" s="1">
        <f t="shared" si="9"/>
        <v>10.37037037037037</v>
      </c>
      <c r="Q70" s="1">
        <f t="shared" si="9"/>
        <v>10.74074074074074</v>
      </c>
      <c r="R70" s="1">
        <f t="shared" si="9"/>
        <v>11.111111111111111</v>
      </c>
      <c r="S70" s="1">
        <f t="shared" si="9"/>
        <v>11.481481481481481</v>
      </c>
      <c r="T70" s="1">
        <f t="shared" si="9"/>
        <v>11.851851851851851</v>
      </c>
      <c r="U70" s="1">
        <f t="shared" si="9"/>
        <v>12.222222222222221</v>
      </c>
      <c r="V70" s="1">
        <f t="shared" si="9"/>
        <v>12.592592592592593</v>
      </c>
    </row>
    <row r="71" spans="1:22" x14ac:dyDescent="0.3">
      <c r="A71" s="81"/>
      <c r="B71" s="13" t="str">
        <f t="shared" si="8"/>
        <v>0x37</v>
      </c>
      <c r="C71" s="17">
        <f t="shared" si="5"/>
        <v>55</v>
      </c>
      <c r="D71" s="1">
        <f t="shared" si="4"/>
        <v>5.8181818181818183</v>
      </c>
      <c r="E71" s="1">
        <f t="shared" si="9"/>
        <v>6.1818181818181817</v>
      </c>
      <c r="F71" s="1">
        <f t="shared" si="9"/>
        <v>6.5454545454545459</v>
      </c>
      <c r="G71" s="1">
        <f t="shared" si="9"/>
        <v>6.9090909090909092</v>
      </c>
      <c r="H71" s="1">
        <f t="shared" si="9"/>
        <v>7.2727272727272725</v>
      </c>
      <c r="I71" s="1">
        <f t="shared" si="9"/>
        <v>7.6363636363636367</v>
      </c>
      <c r="J71" s="1">
        <f t="shared" si="9"/>
        <v>8</v>
      </c>
      <c r="K71" s="1">
        <f t="shared" si="9"/>
        <v>8.3636363636363633</v>
      </c>
      <c r="L71" s="1">
        <f t="shared" si="9"/>
        <v>8.7272727272727266</v>
      </c>
      <c r="M71" s="1">
        <f t="shared" si="9"/>
        <v>9.0909090909090917</v>
      </c>
      <c r="N71" s="1">
        <f t="shared" si="9"/>
        <v>9.454545454545455</v>
      </c>
      <c r="O71" s="1">
        <f t="shared" si="9"/>
        <v>9.8181818181818183</v>
      </c>
      <c r="P71" s="1">
        <f t="shared" si="9"/>
        <v>10.181818181818182</v>
      </c>
      <c r="Q71" s="1">
        <f t="shared" si="9"/>
        <v>10.545454545454545</v>
      </c>
      <c r="R71" s="1">
        <f t="shared" si="9"/>
        <v>10.909090909090908</v>
      </c>
      <c r="S71" s="1">
        <f t="shared" si="9"/>
        <v>11.272727272727273</v>
      </c>
      <c r="T71" s="1">
        <f t="shared" si="9"/>
        <v>11.636363636363637</v>
      </c>
      <c r="U71" s="1">
        <f t="shared" si="9"/>
        <v>12</v>
      </c>
      <c r="V71" s="1">
        <f t="shared" si="9"/>
        <v>12.363636363636363</v>
      </c>
    </row>
    <row r="72" spans="1:22" x14ac:dyDescent="0.3">
      <c r="A72" s="81"/>
      <c r="B72" s="13" t="str">
        <f t="shared" si="8"/>
        <v>0x38</v>
      </c>
      <c r="C72" s="17">
        <f t="shared" si="5"/>
        <v>56</v>
      </c>
      <c r="D72" s="1">
        <f t="shared" si="4"/>
        <v>5.7142857142857144</v>
      </c>
      <c r="E72" s="1">
        <f t="shared" si="9"/>
        <v>6.0714285714285712</v>
      </c>
      <c r="F72" s="1">
        <f t="shared" si="9"/>
        <v>6.4285714285714288</v>
      </c>
      <c r="G72" s="1">
        <f t="shared" si="9"/>
        <v>6.7857142857142856</v>
      </c>
      <c r="H72" s="1">
        <f t="shared" si="9"/>
        <v>7.1428571428571432</v>
      </c>
      <c r="I72" s="1">
        <f t="shared" si="9"/>
        <v>7.5</v>
      </c>
      <c r="J72" s="1">
        <f t="shared" si="9"/>
        <v>7.8571428571428568</v>
      </c>
      <c r="K72" s="1">
        <f t="shared" si="9"/>
        <v>8.2142857142857135</v>
      </c>
      <c r="L72" s="1">
        <f t="shared" si="9"/>
        <v>8.5714285714285712</v>
      </c>
      <c r="M72" s="1">
        <f t="shared" si="9"/>
        <v>8.9285714285714288</v>
      </c>
      <c r="N72" s="1">
        <f t="shared" si="9"/>
        <v>9.2857142857142865</v>
      </c>
      <c r="O72" s="1">
        <f t="shared" si="9"/>
        <v>9.6428571428571423</v>
      </c>
      <c r="P72" s="1">
        <f t="shared" si="9"/>
        <v>10</v>
      </c>
      <c r="Q72" s="1">
        <f t="shared" si="9"/>
        <v>10.357142857142858</v>
      </c>
      <c r="R72" s="1">
        <f t="shared" si="9"/>
        <v>10.714285714285714</v>
      </c>
      <c r="S72" s="1">
        <f t="shared" si="9"/>
        <v>11.071428571428571</v>
      </c>
      <c r="T72" s="1">
        <f t="shared" si="9"/>
        <v>11.428571428571429</v>
      </c>
      <c r="U72" s="1">
        <f t="shared" si="9"/>
        <v>11.785714285714286</v>
      </c>
      <c r="V72" s="1">
        <f t="shared" si="9"/>
        <v>12.142857142857142</v>
      </c>
    </row>
    <row r="73" spans="1:22" x14ac:dyDescent="0.3">
      <c r="A73" s="81"/>
      <c r="B73" s="13" t="str">
        <f t="shared" si="8"/>
        <v>0x39</v>
      </c>
      <c r="C73" s="17">
        <f t="shared" si="5"/>
        <v>57</v>
      </c>
      <c r="D73" s="1">
        <f t="shared" si="4"/>
        <v>5.6140350877192979</v>
      </c>
      <c r="E73" s="1">
        <f t="shared" si="9"/>
        <v>5.9649122807017543</v>
      </c>
      <c r="F73" s="1">
        <f t="shared" si="9"/>
        <v>6.3157894736842106</v>
      </c>
      <c r="G73" s="1">
        <f t="shared" si="9"/>
        <v>6.666666666666667</v>
      </c>
      <c r="H73" s="1">
        <f t="shared" si="9"/>
        <v>7.0175438596491224</v>
      </c>
      <c r="I73" s="1">
        <f t="shared" si="9"/>
        <v>7.3684210526315788</v>
      </c>
      <c r="J73" s="1">
        <f t="shared" si="9"/>
        <v>7.7192982456140351</v>
      </c>
      <c r="K73" s="1">
        <f t="shared" si="9"/>
        <v>8.0701754385964914</v>
      </c>
      <c r="L73" s="1">
        <f t="shared" si="9"/>
        <v>8.4210526315789469</v>
      </c>
      <c r="M73" s="1">
        <f t="shared" si="9"/>
        <v>8.7719298245614041</v>
      </c>
      <c r="N73" s="1">
        <f t="shared" si="9"/>
        <v>9.1228070175438596</v>
      </c>
      <c r="O73" s="1">
        <f t="shared" si="9"/>
        <v>9.473684210526315</v>
      </c>
      <c r="P73" s="1">
        <f t="shared" si="9"/>
        <v>9.8245614035087723</v>
      </c>
      <c r="Q73" s="1">
        <f t="shared" si="9"/>
        <v>10.175438596491228</v>
      </c>
      <c r="R73" s="1">
        <f t="shared" si="9"/>
        <v>10.526315789473685</v>
      </c>
      <c r="S73" s="1">
        <f t="shared" si="9"/>
        <v>10.87719298245614</v>
      </c>
      <c r="T73" s="1">
        <f t="shared" si="9"/>
        <v>11.228070175438596</v>
      </c>
      <c r="U73" s="1">
        <f t="shared" si="9"/>
        <v>11.578947368421053</v>
      </c>
      <c r="V73" s="1">
        <f t="shared" si="9"/>
        <v>11.929824561403509</v>
      </c>
    </row>
    <row r="74" spans="1:22" x14ac:dyDescent="0.3">
      <c r="A74" s="81"/>
      <c r="B74" s="13" t="str">
        <f t="shared" si="8"/>
        <v>0x3A</v>
      </c>
      <c r="C74" s="17">
        <f t="shared" si="5"/>
        <v>58</v>
      </c>
      <c r="D74" s="1">
        <f t="shared" si="4"/>
        <v>5.5172413793103452</v>
      </c>
      <c r="E74" s="1">
        <f t="shared" si="9"/>
        <v>5.8620689655172411</v>
      </c>
      <c r="F74" s="1">
        <f t="shared" si="9"/>
        <v>6.2068965517241379</v>
      </c>
      <c r="G74" s="1">
        <f t="shared" si="9"/>
        <v>6.5517241379310347</v>
      </c>
      <c r="H74" s="1">
        <f t="shared" si="9"/>
        <v>6.8965517241379306</v>
      </c>
      <c r="I74" s="1">
        <f t="shared" si="9"/>
        <v>7.2413793103448274</v>
      </c>
      <c r="J74" s="1">
        <f t="shared" si="9"/>
        <v>7.5862068965517242</v>
      </c>
      <c r="K74" s="1">
        <f t="shared" si="9"/>
        <v>7.931034482758621</v>
      </c>
      <c r="L74" s="1">
        <f t="shared" si="9"/>
        <v>8.2758620689655178</v>
      </c>
      <c r="M74" s="1">
        <f t="shared" si="9"/>
        <v>8.6206896551724146</v>
      </c>
      <c r="N74" s="1">
        <f t="shared" ref="E74:V79" si="10">($F$10*(N$16 + ($F$12/ POWER(2,12) ) ) ) /($C74*2)</f>
        <v>8.9655172413793096</v>
      </c>
      <c r="O74" s="1">
        <f t="shared" si="10"/>
        <v>9.3103448275862064</v>
      </c>
      <c r="P74" s="1">
        <f t="shared" si="10"/>
        <v>9.6551724137931032</v>
      </c>
      <c r="Q74" s="1">
        <f t="shared" si="10"/>
        <v>10</v>
      </c>
      <c r="R74" s="1">
        <f t="shared" si="10"/>
        <v>10.344827586206897</v>
      </c>
      <c r="S74" s="1">
        <f t="shared" si="10"/>
        <v>10.689655172413794</v>
      </c>
      <c r="T74" s="1">
        <f t="shared" si="10"/>
        <v>11.03448275862069</v>
      </c>
      <c r="U74" s="1">
        <f t="shared" si="10"/>
        <v>11.379310344827585</v>
      </c>
      <c r="V74" s="1">
        <f t="shared" si="10"/>
        <v>11.724137931034482</v>
      </c>
    </row>
    <row r="75" spans="1:22" x14ac:dyDescent="0.3">
      <c r="A75" s="81"/>
      <c r="B75" s="13" t="str">
        <f t="shared" si="8"/>
        <v>0x3B</v>
      </c>
      <c r="C75" s="17">
        <f t="shared" si="5"/>
        <v>59</v>
      </c>
      <c r="D75" s="1">
        <f t="shared" si="4"/>
        <v>5.4237288135593218</v>
      </c>
      <c r="E75" s="1">
        <f t="shared" si="10"/>
        <v>5.7627118644067794</v>
      </c>
      <c r="F75" s="1">
        <f t="shared" si="10"/>
        <v>6.101694915254237</v>
      </c>
      <c r="G75" s="1">
        <f t="shared" si="10"/>
        <v>6.4406779661016946</v>
      </c>
      <c r="H75" s="1">
        <f t="shared" si="10"/>
        <v>6.7796610169491522</v>
      </c>
      <c r="I75" s="1">
        <f t="shared" si="10"/>
        <v>7.1186440677966099</v>
      </c>
      <c r="J75" s="1">
        <f t="shared" si="10"/>
        <v>7.4576271186440675</v>
      </c>
      <c r="K75" s="1">
        <f t="shared" si="10"/>
        <v>7.7966101694915251</v>
      </c>
      <c r="L75" s="1">
        <f t="shared" si="10"/>
        <v>8.1355932203389827</v>
      </c>
      <c r="M75" s="1">
        <f t="shared" si="10"/>
        <v>8.4745762711864412</v>
      </c>
      <c r="N75" s="1">
        <f t="shared" si="10"/>
        <v>8.8135593220338979</v>
      </c>
      <c r="O75" s="1">
        <f t="shared" si="10"/>
        <v>9.1525423728813564</v>
      </c>
      <c r="P75" s="1">
        <f t="shared" si="10"/>
        <v>9.4915254237288131</v>
      </c>
      <c r="Q75" s="1">
        <f t="shared" si="10"/>
        <v>9.8305084745762716</v>
      </c>
      <c r="R75" s="1">
        <f t="shared" si="10"/>
        <v>10.169491525423728</v>
      </c>
      <c r="S75" s="1">
        <f t="shared" si="10"/>
        <v>10.508474576271187</v>
      </c>
      <c r="T75" s="1">
        <f t="shared" si="10"/>
        <v>10.847457627118644</v>
      </c>
      <c r="U75" s="1">
        <f t="shared" si="10"/>
        <v>11.186440677966102</v>
      </c>
      <c r="V75" s="1">
        <f t="shared" si="10"/>
        <v>11.525423728813559</v>
      </c>
    </row>
    <row r="76" spans="1:22" x14ac:dyDescent="0.3">
      <c r="A76" s="81"/>
      <c r="B76" s="13" t="str">
        <f t="shared" si="8"/>
        <v>0x3C</v>
      </c>
      <c r="C76" s="17">
        <f t="shared" si="5"/>
        <v>60</v>
      </c>
      <c r="D76" s="1">
        <f t="shared" si="4"/>
        <v>5.333333333333333</v>
      </c>
      <c r="E76" s="1">
        <f t="shared" si="10"/>
        <v>5.666666666666667</v>
      </c>
      <c r="F76" s="1">
        <f t="shared" si="10"/>
        <v>6</v>
      </c>
      <c r="G76" s="1">
        <f t="shared" si="10"/>
        <v>6.333333333333333</v>
      </c>
      <c r="H76" s="1">
        <f t="shared" si="10"/>
        <v>6.666666666666667</v>
      </c>
      <c r="I76" s="1">
        <f t="shared" si="10"/>
        <v>7</v>
      </c>
      <c r="J76" s="1">
        <f t="shared" si="10"/>
        <v>7.333333333333333</v>
      </c>
      <c r="K76" s="1">
        <f t="shared" si="10"/>
        <v>7.666666666666667</v>
      </c>
      <c r="L76" s="1">
        <f t="shared" si="10"/>
        <v>8</v>
      </c>
      <c r="M76" s="1">
        <f t="shared" si="10"/>
        <v>8.3333333333333339</v>
      </c>
      <c r="N76" s="1">
        <f t="shared" si="10"/>
        <v>8.6666666666666661</v>
      </c>
      <c r="O76" s="1">
        <f t="shared" si="10"/>
        <v>9</v>
      </c>
      <c r="P76" s="1">
        <f t="shared" si="10"/>
        <v>9.3333333333333339</v>
      </c>
      <c r="Q76" s="1">
        <f t="shared" si="10"/>
        <v>9.6666666666666661</v>
      </c>
      <c r="R76" s="1">
        <f t="shared" si="10"/>
        <v>10</v>
      </c>
      <c r="S76" s="1">
        <f t="shared" si="10"/>
        <v>10.333333333333334</v>
      </c>
      <c r="T76" s="1">
        <f t="shared" si="10"/>
        <v>10.666666666666666</v>
      </c>
      <c r="U76" s="1">
        <f t="shared" si="10"/>
        <v>11</v>
      </c>
      <c r="V76" s="1">
        <f t="shared" si="10"/>
        <v>11.333333333333334</v>
      </c>
    </row>
    <row r="77" spans="1:22" x14ac:dyDescent="0.3">
      <c r="A77" s="81"/>
      <c r="B77" s="13" t="str">
        <f t="shared" si="8"/>
        <v>0x3D</v>
      </c>
      <c r="C77" s="17">
        <f t="shared" si="5"/>
        <v>61</v>
      </c>
      <c r="D77" s="1">
        <f t="shared" si="4"/>
        <v>5.2459016393442619</v>
      </c>
      <c r="E77" s="1">
        <f t="shared" si="10"/>
        <v>5.5737704918032787</v>
      </c>
      <c r="F77" s="1">
        <f t="shared" si="10"/>
        <v>5.9016393442622954</v>
      </c>
      <c r="G77" s="1">
        <f t="shared" si="10"/>
        <v>6.2295081967213113</v>
      </c>
      <c r="H77" s="1">
        <f t="shared" si="10"/>
        <v>6.557377049180328</v>
      </c>
      <c r="I77" s="1">
        <f t="shared" si="10"/>
        <v>6.8852459016393439</v>
      </c>
      <c r="J77" s="1">
        <f t="shared" si="10"/>
        <v>7.2131147540983607</v>
      </c>
      <c r="K77" s="1">
        <f t="shared" si="10"/>
        <v>7.5409836065573774</v>
      </c>
      <c r="L77" s="1">
        <f t="shared" si="10"/>
        <v>7.8688524590163933</v>
      </c>
      <c r="M77" s="1">
        <f t="shared" si="10"/>
        <v>8.1967213114754092</v>
      </c>
      <c r="N77" s="1">
        <f t="shared" si="10"/>
        <v>8.5245901639344268</v>
      </c>
      <c r="O77" s="1">
        <f t="shared" si="10"/>
        <v>8.8524590163934427</v>
      </c>
      <c r="P77" s="1">
        <f t="shared" si="10"/>
        <v>9.1803278688524586</v>
      </c>
      <c r="Q77" s="1">
        <f t="shared" si="10"/>
        <v>9.5081967213114762</v>
      </c>
      <c r="R77" s="1">
        <f t="shared" si="10"/>
        <v>9.8360655737704921</v>
      </c>
      <c r="S77" s="1">
        <f t="shared" si="10"/>
        <v>10.163934426229508</v>
      </c>
      <c r="T77" s="1">
        <f t="shared" si="10"/>
        <v>10.491803278688524</v>
      </c>
      <c r="U77" s="1">
        <f t="shared" si="10"/>
        <v>10.819672131147541</v>
      </c>
      <c r="V77" s="1">
        <f t="shared" si="10"/>
        <v>11.147540983606557</v>
      </c>
    </row>
    <row r="78" spans="1:22" x14ac:dyDescent="0.3">
      <c r="A78" s="81"/>
      <c r="B78" s="13" t="str">
        <f t="shared" si="8"/>
        <v>0x3E</v>
      </c>
      <c r="C78" s="17">
        <f t="shared" si="5"/>
        <v>62</v>
      </c>
      <c r="D78" s="1">
        <f t="shared" si="4"/>
        <v>5.161290322580645</v>
      </c>
      <c r="E78" s="1">
        <f t="shared" si="10"/>
        <v>5.4838709677419351</v>
      </c>
      <c r="F78" s="1">
        <f t="shared" si="10"/>
        <v>5.806451612903226</v>
      </c>
      <c r="G78" s="1">
        <f t="shared" si="10"/>
        <v>6.129032258064516</v>
      </c>
      <c r="H78" s="1">
        <f t="shared" si="10"/>
        <v>6.4516129032258061</v>
      </c>
      <c r="I78" s="1">
        <f t="shared" si="10"/>
        <v>6.774193548387097</v>
      </c>
      <c r="J78" s="1">
        <f t="shared" si="10"/>
        <v>7.096774193548387</v>
      </c>
      <c r="K78" s="1">
        <f t="shared" si="10"/>
        <v>7.419354838709677</v>
      </c>
      <c r="L78" s="1">
        <f t="shared" si="10"/>
        <v>7.741935483870968</v>
      </c>
      <c r="M78" s="1">
        <f t="shared" si="10"/>
        <v>8.064516129032258</v>
      </c>
      <c r="N78" s="1">
        <f t="shared" si="10"/>
        <v>8.387096774193548</v>
      </c>
      <c r="O78" s="1">
        <f t="shared" si="10"/>
        <v>8.7096774193548381</v>
      </c>
      <c r="P78" s="1">
        <f t="shared" si="10"/>
        <v>9.0322580645161299</v>
      </c>
      <c r="Q78" s="1">
        <f t="shared" si="10"/>
        <v>9.3548387096774199</v>
      </c>
      <c r="R78" s="1">
        <f t="shared" si="10"/>
        <v>9.67741935483871</v>
      </c>
      <c r="S78" s="1">
        <f t="shared" si="10"/>
        <v>10</v>
      </c>
      <c r="T78" s="1">
        <f t="shared" si="10"/>
        <v>10.32258064516129</v>
      </c>
      <c r="U78" s="1">
        <f t="shared" si="10"/>
        <v>10.64516129032258</v>
      </c>
      <c r="V78" s="1">
        <f t="shared" si="10"/>
        <v>10.96774193548387</v>
      </c>
    </row>
    <row r="79" spans="1:22" x14ac:dyDescent="0.3">
      <c r="A79" s="81"/>
      <c r="B79" s="14" t="str">
        <f t="shared" si="8"/>
        <v>0x3F</v>
      </c>
      <c r="C79" s="17">
        <f t="shared" si="5"/>
        <v>63</v>
      </c>
      <c r="D79" s="1">
        <f t="shared" si="4"/>
        <v>5.0793650793650791</v>
      </c>
      <c r="E79" s="1">
        <f t="shared" si="10"/>
        <v>5.3968253968253972</v>
      </c>
      <c r="F79" s="1">
        <f t="shared" si="10"/>
        <v>5.7142857142857144</v>
      </c>
      <c r="G79" s="1">
        <f t="shared" si="10"/>
        <v>6.0317460317460316</v>
      </c>
      <c r="H79" s="1">
        <f t="shared" si="10"/>
        <v>6.3492063492063489</v>
      </c>
      <c r="I79" s="1">
        <f t="shared" si="10"/>
        <v>6.666666666666667</v>
      </c>
      <c r="J79" s="1">
        <f t="shared" si="10"/>
        <v>6.9841269841269842</v>
      </c>
      <c r="K79" s="1">
        <f t="shared" si="10"/>
        <v>7.3015873015873014</v>
      </c>
      <c r="L79" s="1">
        <f t="shared" si="10"/>
        <v>7.6190476190476186</v>
      </c>
      <c r="M79" s="1">
        <f t="shared" si="10"/>
        <v>7.9365079365079367</v>
      </c>
      <c r="N79" s="1">
        <f t="shared" si="10"/>
        <v>8.2539682539682548</v>
      </c>
      <c r="O79" s="1">
        <f t="shared" si="10"/>
        <v>8.5714285714285712</v>
      </c>
      <c r="P79" s="1">
        <f t="shared" si="10"/>
        <v>8.8888888888888893</v>
      </c>
      <c r="Q79" s="1">
        <f t="shared" si="10"/>
        <v>9.2063492063492056</v>
      </c>
      <c r="R79" s="1">
        <f t="shared" si="10"/>
        <v>9.5238095238095237</v>
      </c>
      <c r="S79" s="1">
        <f t="shared" si="10"/>
        <v>9.8412698412698418</v>
      </c>
      <c r="T79" s="1">
        <f t="shared" si="10"/>
        <v>10.158730158730158</v>
      </c>
      <c r="U79" s="1">
        <f t="shared" si="10"/>
        <v>10.476190476190476</v>
      </c>
      <c r="V79" s="1">
        <f t="shared" si="10"/>
        <v>10.793650793650794</v>
      </c>
    </row>
  </sheetData>
  <mergeCells count="8">
    <mergeCell ref="A17:A79"/>
    <mergeCell ref="D14:V14"/>
    <mergeCell ref="D1:W1"/>
    <mergeCell ref="T2:U8"/>
    <mergeCell ref="D12:E12"/>
    <mergeCell ref="D10:E10"/>
    <mergeCell ref="A3:B3"/>
    <mergeCell ref="A1:C2"/>
  </mergeCells>
  <conditionalFormatting sqref="F10">
    <cfRule type="expression" dxfId="5" priority="24">
      <formula>OR($F$10 &lt; $S$5, $F$10 &gt; $S$6)</formula>
    </cfRule>
  </conditionalFormatting>
  <conditionalFormatting sqref="D17:V79">
    <cfRule type="expression" dxfId="4" priority="1" stopIfTrue="1">
      <formula>OR( ($F$10*(D$16 + ($F$12/ POWER(2,12) ) ) ) &lt; $S$3, ($F$10*(D$16 + ($F$12/ POWER(2,12) ) ) ) &gt; $S$4)</formula>
    </cfRule>
    <cfRule type="expression" dxfId="3" priority="26">
      <formula>(D17 &gt; $S$2)</formula>
    </cfRule>
    <cfRule type="expression" dxfId="2" priority="27">
      <formula>D17=$S$2</formula>
    </cfRule>
  </conditionalFormatting>
  <conditionalFormatting sqref="D11">
    <cfRule type="expression" dxfId="1" priority="2">
      <formula>"OR($D$11 &lt; pll1_phi!$S$5, $D$11 &gt;pll1_phi!$S$6)"</formula>
    </cfRule>
  </conditionalFormatting>
  <hyperlinks>
    <hyperlink ref="Q2" location="pll1_phi!C3" display="Requested f(PHI)" xr:uid="{00000000-0004-0000-0800-000000000000}"/>
    <hyperlink ref="D10:E10" location="'PLL1'!C11" display="PLL1 reference" xr:uid="{00000000-0004-0000-0800-000001000000}"/>
    <hyperlink ref="D12:E12" location="'PLL1'!O13" display="FRCDIV" xr:uid="{00000000-0004-0000-0800-000002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0" id="{36A73E2D-3E4B-4EDA-AB65-8DEDD3441C49}">
            <xm:f>OR(D17&lt;Limits!$B$17,D17&gt;Limits!$B$18)</xm:f>
            <x14:dxf>
              <fill>
                <patternFill>
                  <bgColor rgb="FFFF0000"/>
                </patternFill>
              </fill>
            </x14:dxf>
          </x14:cfRule>
          <xm:sqref>D17:V79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6:L102"/>
  <sheetViews>
    <sheetView topLeftCell="C21" workbookViewId="0">
      <selection activeCell="B32" sqref="B32"/>
    </sheetView>
  </sheetViews>
  <sheetFormatPr baseColWidth="10" defaultColWidth="8.88671875" defaultRowHeight="14.4" x14ac:dyDescent="0.3"/>
  <cols>
    <col min="1" max="1" width="34.109375" customWidth="1"/>
    <col min="2" max="2" width="37.6640625" bestFit="1" customWidth="1"/>
    <col min="7" max="7" width="14.6640625" bestFit="1" customWidth="1"/>
    <col min="8" max="8" width="29.109375" bestFit="1" customWidth="1"/>
    <col min="9" max="9" width="17.33203125" customWidth="1"/>
  </cols>
  <sheetData>
    <row r="6" spans="1:12" ht="15" thickBot="1" x14ac:dyDescent="0.35"/>
    <row r="7" spans="1:12" x14ac:dyDescent="0.3">
      <c r="A7" s="34" t="s">
        <v>70</v>
      </c>
      <c r="B7" s="35" t="s">
        <v>71</v>
      </c>
      <c r="G7" s="35" t="s">
        <v>96</v>
      </c>
      <c r="H7" s="35" t="s">
        <v>97</v>
      </c>
      <c r="I7" s="35" t="s">
        <v>137</v>
      </c>
      <c r="L7" t="str">
        <f>"//Enable XOSC, PLL0, PLL1, and enter RUN0 with "&amp;IF(Tree!K15=0,"IRCOSC",IF(Tree!K15=1,"XOSC",IF(Tree!K15=2,"PLL0_PHI1",IF(Tree!K15=4,"PLL1_PHI","no clock"))))&amp;" as system clock ("&amp;Tree!AA10&amp;" MHz)."</f>
        <v>//Enable XOSC, PLL0, PLL1, and enter RUN0 with PLL1_PHI as system clock (180 MHz).</v>
      </c>
    </row>
    <row r="8" spans="1:12" x14ac:dyDescent="0.3">
      <c r="A8" s="60" t="s">
        <v>72</v>
      </c>
      <c r="B8" s="61" t="str">
        <f>"0x"&amp;"X0XX00"&amp;DEC2HEX(('PLL1'!D21*POWER(2,7))+(PLL0!D21*POWER(2,6))+(Tree!B10*POWER(2,5))+(Tree!B25*POWER(2,4))+(Tree!K15),2)</f>
        <v>0xX0XX00F4</v>
      </c>
      <c r="G8" s="111" t="s">
        <v>98</v>
      </c>
      <c r="H8" s="63" t="s">
        <v>99</v>
      </c>
      <c r="I8" s="61">
        <f>Tree!E26</f>
        <v>16</v>
      </c>
      <c r="L8" t="str">
        <f>"void SysClk_Init(void)"</f>
        <v>void SysClk_Init(void)</v>
      </c>
    </row>
    <row r="9" spans="1:12" x14ac:dyDescent="0.3">
      <c r="A9" s="60" t="s">
        <v>73</v>
      </c>
      <c r="B9" s="61" t="str">
        <f>"0b"&amp;DEC2BIN('Oscillator Control'!J16,1)&amp;"XX00000XXXXXXXXX0000000X0000000"</f>
        <v>0b0XX00000XXXXXXXXX0000000X0000000</v>
      </c>
      <c r="G9" s="107"/>
      <c r="H9" s="63" t="s">
        <v>100</v>
      </c>
      <c r="I9" s="61">
        <f>Tree!D8</f>
        <v>40</v>
      </c>
      <c r="L9" t="str">
        <f>"{"</f>
        <v>{</v>
      </c>
    </row>
    <row r="10" spans="1:12" x14ac:dyDescent="0.3">
      <c r="A10" s="60" t="s">
        <v>74</v>
      </c>
      <c r="B10" s="61" t="str">
        <f>"0x"&amp;DEC2HEX((1*POWER(2,31))+(Tree!O16*POWER(2,16)),8)</f>
        <v>0x80030000</v>
      </c>
      <c r="G10" s="107"/>
      <c r="H10" s="63" t="s">
        <v>51</v>
      </c>
      <c r="I10" s="61">
        <f>Tree!G22</f>
        <v>160</v>
      </c>
      <c r="L10" t="str">
        <f>"      MC_CGM.AC3_SC.R  =  "&amp;B18&amp;";"&amp;CHAR(9)&amp;CHAR(9)&amp;"  //Connect "&amp;IF(Tree!E22=0,"IRCOSC","XOSC")&amp;" to the PLL0 input."</f>
        <v xml:space="preserve">      MC_CGM.AC3_SC.R  =  0x01000000;		  //Connect XOSC to the PLL0 input.</v>
      </c>
    </row>
    <row r="11" spans="1:12" x14ac:dyDescent="0.3">
      <c r="A11" s="60" t="s">
        <v>75</v>
      </c>
      <c r="B11" s="61" t="str">
        <f>"0x"&amp;DEC2HEX(Tree!K28*POWER(2,24),8)</f>
        <v>0x02000000</v>
      </c>
      <c r="G11" s="107"/>
      <c r="H11" s="63" t="s">
        <v>52</v>
      </c>
      <c r="I11" s="61">
        <f>Tree!G17</f>
        <v>35.555555555555557</v>
      </c>
      <c r="L11" t="str">
        <f>"      MC_CGM.AC4_SC.R  =  "&amp;B19&amp;";"&amp;CHAR(9)&amp;CHAR(9)&amp;"  //Connect "&amp;IF(Tree!E14=1,"XOSC","PLL0_PHI1")&amp;" to the PLL1 input."</f>
        <v xml:space="preserve">      MC_CGM.AC4_SC.R  =  0x01000000;		  //Connect XOSC to the PLL1 input.</v>
      </c>
    </row>
    <row r="12" spans="1:12" x14ac:dyDescent="0.3">
      <c r="A12" s="60" t="s">
        <v>76</v>
      </c>
      <c r="B12" s="61" t="str">
        <f>"0x"&amp;DEC2HEX((Tree!N22*POWER(2,31))+(Tree!R22*POWER(2,16)),8)</f>
        <v>0x80000000</v>
      </c>
      <c r="G12" s="107"/>
      <c r="H12" s="63" t="s">
        <v>53</v>
      </c>
      <c r="I12" s="61">
        <f>Tree!G14</f>
        <v>180</v>
      </c>
      <c r="L12" t="str">
        <f>""</f>
        <v/>
      </c>
    </row>
    <row r="13" spans="1:12" x14ac:dyDescent="0.3">
      <c r="A13" s="60" t="s">
        <v>77</v>
      </c>
      <c r="B13" s="61" t="str">
        <f>"0x"&amp;DEC2HEX((Tree!N25*POWER(2,31))+(Tree!R25*POWER(2,16)),8)</f>
        <v>0x80090000</v>
      </c>
      <c r="G13" s="107"/>
      <c r="H13" s="63" t="s">
        <v>101</v>
      </c>
      <c r="I13" s="61">
        <f>Tree!AA10</f>
        <v>180</v>
      </c>
      <c r="L13" t="str">
        <f>"      //Set PLL0 to "&amp;Tree!G22&amp;" MHz with "&amp;IF(Tree!E22=0,Tree!E26,Tree!D8)&amp;" MHz "&amp;IF(Tree!E22=0,"IRCOSC","XOSC")&amp;" reference."</f>
        <v xml:space="preserve">      //Set PLL0 to 160 MHz with 40 MHz XOSC reference.</v>
      </c>
    </row>
    <row r="14" spans="1:12" x14ac:dyDescent="0.3">
      <c r="A14" s="60" t="s">
        <v>78</v>
      </c>
      <c r="B14" s="61" t="str">
        <f>"0x"&amp;DEC2HEX((Tree!N28*POWER(2,31))+(Tree!R28*POWER(2,16)),8)</f>
        <v>0x80010000</v>
      </c>
      <c r="G14" s="107"/>
      <c r="H14" s="63" t="s">
        <v>102</v>
      </c>
      <c r="I14" s="61">
        <f>Tree!AA10</f>
        <v>180</v>
      </c>
      <c r="L14" t="str">
        <f>"       PLLDIG.PLL0DV.R = "&amp;B28&amp;";"&amp;CHAR(9)&amp;CHAR(9)&amp;"  //PREDIV = "&amp;PLL0!G13&amp;", MFD = "&amp;PLL0!K13&amp;", RFDPHI = "&amp;PLL0!O13&amp;", RFDPHI1 = "&amp;PLL0!O19</f>
        <v xml:space="preserve">       PLLDIG.PLL0DV.R = 0x48024020;		  //PREDIV = 4, MFD = 32, RFDPHI = 2, RFDPHI1 = 9</v>
      </c>
    </row>
    <row r="15" spans="1:12" x14ac:dyDescent="0.3">
      <c r="A15" s="60" t="s">
        <v>79</v>
      </c>
      <c r="B15" s="61" t="str">
        <f>"0x"&amp;DEC2HEX((Tree!M54*POWER(2,31))+(Tree!Q54*POWER(2,16)),8)</f>
        <v>0x80010000</v>
      </c>
      <c r="G15" s="107"/>
      <c r="H15" s="63" t="s">
        <v>29</v>
      </c>
      <c r="I15" s="61">
        <f>Tree!AA12</f>
        <v>90</v>
      </c>
      <c r="L15" t="str">
        <f>""</f>
        <v/>
      </c>
    </row>
    <row r="16" spans="1:12" x14ac:dyDescent="0.3">
      <c r="A16" s="60" t="s">
        <v>93</v>
      </c>
      <c r="B16" s="61" t="str">
        <f>"0x"&amp;DEC2HEX((Tree!M57*POWER(2,31))+(Tree!Q57*POWER(2,16)),8)</f>
        <v>0x80010000</v>
      </c>
      <c r="G16" s="107"/>
      <c r="H16" s="63" t="s">
        <v>103</v>
      </c>
      <c r="I16" s="61">
        <f>Tree!AA15</f>
        <v>45</v>
      </c>
      <c r="L16" t="str">
        <f>"      MC_ME.RUN0_MC.R = 0x00130070;"&amp;CHAR(9)&amp;CHAR(9)&amp;"    // RUN0 cfg: IRCON,XOSCON,PLL0ON,syclk=IRC"</f>
        <v xml:space="preserve">      MC_ME.RUN0_MC.R = 0x00130070;		    // RUN0 cfg: IRCON,XOSCON,PLL0ON,syclk=IRC</v>
      </c>
    </row>
    <row r="17" spans="1:12" x14ac:dyDescent="0.3">
      <c r="A17" s="60" t="s">
        <v>80</v>
      </c>
      <c r="B17" s="61" t="str">
        <f>"0x"&amp;DEC2HEX((Tree!F53*POWER(2,31))+(Tree!D53*POWER(2,16)),8)</f>
        <v>0x80010000</v>
      </c>
      <c r="G17" s="107"/>
      <c r="H17" s="63" t="s">
        <v>104</v>
      </c>
      <c r="I17" s="61">
        <f>Tree!AA15</f>
        <v>45</v>
      </c>
      <c r="L17" t="str">
        <f>""</f>
        <v/>
      </c>
    </row>
    <row r="18" spans="1:12" x14ac:dyDescent="0.3">
      <c r="A18" s="60" t="s">
        <v>81</v>
      </c>
      <c r="B18" s="61" t="str">
        <f>"0x"&amp;DEC2HEX(Tree!E22*POWER(2,24),8)</f>
        <v>0x01000000</v>
      </c>
      <c r="G18" s="107"/>
      <c r="H18" s="63" t="s">
        <v>28</v>
      </c>
      <c r="I18" s="61">
        <f>Tree!AA21</f>
        <v>160</v>
      </c>
      <c r="L18" t="str">
        <f>"      // Mode Transition to enter RUN0 mode: "</f>
        <v xml:space="preserve">      // Mode Transition to enter RUN0 mode: </v>
      </c>
    </row>
    <row r="19" spans="1:12" x14ac:dyDescent="0.3">
      <c r="A19" s="60" t="s">
        <v>82</v>
      </c>
      <c r="B19" s="61" t="str">
        <f>"0x"&amp;DEC2HEX(Tree!E14*POWER(2,24),8)</f>
        <v>0x01000000</v>
      </c>
      <c r="G19" s="107"/>
      <c r="H19" s="63" t="s">
        <v>138</v>
      </c>
      <c r="I19" s="61">
        <f>Tree!AA24</f>
        <v>16</v>
      </c>
      <c r="L19" t="str">
        <f>"      MC_ME.MCTL.R = 0x40005AF0;"&amp;CHAR(9)&amp;CHAR(9)&amp;"    // Enter RUN0 Mode &amp; Key"</f>
        <v xml:space="preserve">      MC_ME.MCTL.R = 0x40005AF0;		    // Enter RUN0 Mode &amp; Key</v>
      </c>
    </row>
    <row r="20" spans="1:12" x14ac:dyDescent="0.3">
      <c r="A20" s="60" t="s">
        <v>83</v>
      </c>
      <c r="B20" s="61" t="str">
        <f>"0x"&amp;DEC2HEX(Tree!K46*POWER(2,24),8)</f>
        <v>0x02000000</v>
      </c>
      <c r="G20" s="107"/>
      <c r="H20" s="63" t="s">
        <v>139</v>
      </c>
      <c r="I20" s="61">
        <f>Tree!AA27</f>
        <v>80</v>
      </c>
      <c r="L20" t="str">
        <f>"      MC_ME.MCTL.R = 0x4000A50F;"&amp;CHAR(9)&amp;CHAR(9)&amp;"    // Enter RUN0 Mode &amp; Inverted Key"</f>
        <v xml:space="preserve">      MC_ME.MCTL.R = 0x4000A50F;		    // Enter RUN0 Mode &amp; Inverted Key</v>
      </c>
    </row>
    <row r="21" spans="1:12" x14ac:dyDescent="0.3">
      <c r="A21" s="60" t="s">
        <v>84</v>
      </c>
      <c r="B21" s="61" t="str">
        <f>"0x"&amp;DEC2HEX((Tree!N43*POWER(2,31))+(Tree!R43*POWER(2,16)),8)</f>
        <v>0x80070000</v>
      </c>
      <c r="G21" s="107"/>
      <c r="H21" s="63" t="s">
        <v>140</v>
      </c>
      <c r="I21" s="61">
        <f>Tree!AA33</f>
        <v>180</v>
      </c>
      <c r="L21" t="str">
        <f>"      while (MC_ME.GS.B.S_MTRANS) {};"&amp;CHAR(9)&amp;CHAR(9)&amp;"    // Wait for mode transition to complete"</f>
        <v xml:space="preserve">      while (MC_ME.GS.B.S_MTRANS) {};		    // Wait for mode transition to complete</v>
      </c>
    </row>
    <row r="22" spans="1:12" x14ac:dyDescent="0.3">
      <c r="A22" s="60" t="s">
        <v>85</v>
      </c>
      <c r="B22" s="61" t="str">
        <f>"0x"&amp;DEC2HEX(Tree!K37*POWER(2,24),8)</f>
        <v>0x04000000</v>
      </c>
      <c r="G22" s="107"/>
      <c r="H22" s="63" t="s">
        <v>141</v>
      </c>
      <c r="I22" s="61">
        <f>Tree!AA42</f>
        <v>20</v>
      </c>
      <c r="L22" t="str">
        <f>"      while(MC_ME.GS.B.S_CURRENT_MODE != 4) {};"&amp;CHAR(9)&amp;"    // Verify RUN0 is the current mode"</f>
        <v xml:space="preserve">      while(MC_ME.GS.B.S_CURRENT_MODE != 4) {};	    // Verify RUN0 is the current mode</v>
      </c>
    </row>
    <row r="23" spans="1:12" x14ac:dyDescent="0.3">
      <c r="A23" s="60" t="s">
        <v>86</v>
      </c>
      <c r="B23" s="61" t="str">
        <f>"0x"&amp;DEC2HEX((Tree!N34*POWER(2,31))+(Tree!R34*POWER(2,16)),8)</f>
        <v>0x80000000</v>
      </c>
      <c r="G23" s="107"/>
      <c r="H23" s="63" t="s">
        <v>142</v>
      </c>
      <c r="I23" s="61">
        <f>Tree!AA42</f>
        <v>20</v>
      </c>
      <c r="L23" t="str">
        <f>""</f>
        <v/>
      </c>
    </row>
    <row r="24" spans="1:12" x14ac:dyDescent="0.3">
      <c r="A24" s="60" t="s">
        <v>87</v>
      </c>
      <c r="B24" s="61" t="str">
        <f>"0x"&amp;DEC2HEX(Tree!K69*POWER(2,24),8)</f>
        <v>0x04000000</v>
      </c>
      <c r="G24" s="107"/>
      <c r="H24" s="63" t="s">
        <v>35</v>
      </c>
      <c r="I24" s="61">
        <f>Tree!AA51</f>
        <v>40</v>
      </c>
      <c r="L24" t="str">
        <f>"      //Set PLL1 to "&amp;Tree!G14&amp;" MHz with "&amp;IF(Tree!E14=1,Tree!D8,Tree!G17)&amp;" MHz "&amp;IF(Tree!E14=1,"XOSC","PLL0_PHI1")&amp;" input."</f>
        <v xml:space="preserve">      //Set PLL1 to 180 MHz with 40 MHz XOSC input.</v>
      </c>
    </row>
    <row r="25" spans="1:12" x14ac:dyDescent="0.3">
      <c r="A25" s="60" t="s">
        <v>88</v>
      </c>
      <c r="B25" s="61" t="str">
        <f>"0x"&amp;DEC2HEX((Tree!M66*POWER(2,31))+(Tree!Q66*POWER(2,16)),8)</f>
        <v>0x80030000</v>
      </c>
      <c r="G25" s="107"/>
      <c r="H25" s="63" t="s">
        <v>37</v>
      </c>
      <c r="I25" s="61">
        <f>Tree!AA56</f>
        <v>80</v>
      </c>
      <c r="L25" t="str">
        <f>"      PLLDIG.PLL1DV.R = "&amp;B29&amp;";"&amp;CHAR(9)&amp;CHAR(9)&amp;"  //MFD = "&amp;'PLL1'!G13&amp;", RFDPHI = "&amp;'PLL1'!S13</f>
        <v xml:space="preserve">      PLLDIG.PLL1DV.R = 0x00020012;		  //MFD = 18, RFDPHI = 2</v>
      </c>
    </row>
    <row r="26" spans="1:12" x14ac:dyDescent="0.3">
      <c r="A26" s="60" t="s">
        <v>94</v>
      </c>
      <c r="B26" s="61" t="str">
        <f>"0x"&amp;DEC2HEX(Tree!K83*POWER(2,24),8)</f>
        <v>0x04000000</v>
      </c>
      <c r="G26" s="107"/>
      <c r="H26" s="63" t="s">
        <v>39</v>
      </c>
      <c r="I26" s="61">
        <f>Tree!AA65</f>
        <v>45</v>
      </c>
      <c r="L26" t="str">
        <f>"      PLLDIG.PLL1FD.R = "&amp;B30&amp;";"&amp;CHAR(9)&amp;CHAR(9)&amp;"  //EnableandconfigurationfractionalmultiplierforPLL1"</f>
        <v xml:space="preserve">      PLLDIG.PLL1FD.R = 0x00000000;		  //EnableandconfigurationfractionalmultiplierforPLL1</v>
      </c>
    </row>
    <row r="27" spans="1:12" x14ac:dyDescent="0.3">
      <c r="A27" s="60" t="s">
        <v>95</v>
      </c>
      <c r="B27" s="61" t="str">
        <f>"0x"&amp;DEC2HEX((Tree!M80*POWER(2,31))+(Tree!Q80*POWER(2,16)),8)</f>
        <v>0x80030000</v>
      </c>
      <c r="G27" s="107"/>
      <c r="H27" s="63" t="s">
        <v>143</v>
      </c>
      <c r="I27" s="61">
        <f>Tree!AA65</f>
        <v>45</v>
      </c>
      <c r="L27" t="str">
        <f>""</f>
        <v/>
      </c>
    </row>
    <row r="28" spans="1:12" x14ac:dyDescent="0.3">
      <c r="A28" s="60" t="s">
        <v>89</v>
      </c>
      <c r="B28" s="61" t="str">
        <f>"0x"&amp;DEC2HEX((PLL0!O19*POWER(2,27))+(PLL0!O13*POWER(2,16))+(PLL0!G13*POWER(2,12))+(PLL0!K13),8)</f>
        <v>0x48024020</v>
      </c>
      <c r="G28" s="107"/>
      <c r="H28" s="63" t="s">
        <v>40</v>
      </c>
      <c r="I28" s="61">
        <f>Tree!AA79</f>
        <v>45</v>
      </c>
      <c r="L28" t="str">
        <f>"      MC_ME.RUN_PC[0].R = 0x000000FE;  //Enable peripherals to run in all modes"</f>
        <v xml:space="preserve">      MC_ME.RUN_PC[0].R = 0x000000FE;  //Enable peripherals to run in all modes</v>
      </c>
    </row>
    <row r="29" spans="1:12" ht="15" thickBot="1" x14ac:dyDescent="0.35">
      <c r="A29" s="60" t="s">
        <v>90</v>
      </c>
      <c r="B29" s="61" t="str">
        <f>"0x"&amp;DEC2HEX(('PLL1'!S13*POWER(2,16))+('PLL1'!G13),8)</f>
        <v>0x00020012</v>
      </c>
      <c r="G29" s="108"/>
      <c r="H29" s="64" t="s">
        <v>36</v>
      </c>
      <c r="I29" s="62">
        <f>Tree!B57</f>
        <v>80</v>
      </c>
      <c r="L29" t="str">
        <f>"      MC_ME.RUN0_MC.R = 0x001300F"&amp;Tree!K15&amp;";"&amp;CHAR(9)&amp;CHAR(9)&amp;"    // RUN0 cfg: IRCON, XOSCON, PLL0ON, PLL1ON, syclk="&amp;IF(Tree!K15=0,"IRCOSC",IF(Tree!K15=1,"XOSC",IF(Tree!K15=2,"PLL0_PHI",IF(Tree!K15=4,"PLL1_PHI","Disabled"))))</f>
        <v xml:space="preserve">      MC_ME.RUN0_MC.R = 0x001300F4;		    // RUN0 cfg: IRCON, XOSCON, PLL0ON, PLL1ON, syclk=PLL1_PHI</v>
      </c>
    </row>
    <row r="30" spans="1:12" x14ac:dyDescent="0.3">
      <c r="A30" s="74" t="s">
        <v>91</v>
      </c>
      <c r="B30" s="61" t="str">
        <f>"0x"&amp;DEC2HEX('PLL1'!K12*POWER(2,2),1)&amp;"0000"&amp;DEC2HEX('PLL1'!O12,3)</f>
        <v>0x00000000</v>
      </c>
      <c r="G30" s="106" t="s">
        <v>107</v>
      </c>
      <c r="H30" s="63" t="s">
        <v>105</v>
      </c>
      <c r="I30" s="61">
        <f>'Peripheral Domains'!G6</f>
        <v>45</v>
      </c>
      <c r="L30" t="str">
        <f>""</f>
        <v/>
      </c>
    </row>
    <row r="31" spans="1:12" x14ac:dyDescent="0.3">
      <c r="A31" s="26" t="s">
        <v>162</v>
      </c>
      <c r="B31" s="61" t="str">
        <f>"0bXXX00000000000"&amp;IF('LFAST Clocking'!X85="Off","10","01")&amp;"XXX00XX"&amp;DEC2BIN(('LFAST Clocking'!$M$85*POWER(2,8))+('LFAST Clocking'!$P$85*POWER(2,2))+('LFAST Clocking'!$I$85),9)</f>
        <v>0bXXX0000000000001XXX00XX001111100</v>
      </c>
      <c r="G31" s="107"/>
      <c r="H31" s="63" t="s">
        <v>106</v>
      </c>
      <c r="I31" s="61">
        <f>'Peripheral Domains'!G6</f>
        <v>45</v>
      </c>
      <c r="L31" t="str">
        <f>"      MC_CGM.SC_DC0.R = "&amp;B10&amp;";"&amp;CHAR(9)&amp;CHAR(9)&amp;"  //Divide system clock by "&amp;SUM(Tree!O16,1)&amp;" to achieve PBRIDGEx_CLK of "&amp;Tree!AA15&amp;" MHz"</f>
        <v xml:space="preserve">      MC_CGM.SC_DC0.R = 0x80030000;		  //Divide system clock by 4 to achieve PBRIDGEx_CLK of 45 MHz</v>
      </c>
    </row>
    <row r="32" spans="1:12" ht="15" thickBot="1" x14ac:dyDescent="0.35">
      <c r="A32" s="26" t="s">
        <v>163</v>
      </c>
      <c r="B32" s="61" t="str">
        <f>"0x000X"&amp;DEC2HEX(('LFAST Clocking'!$R$46*POWER(2,8))+('LFAST Clocking'!$R$55),4)</f>
        <v>0x000X0101</v>
      </c>
      <c r="G32" s="108"/>
      <c r="H32" s="64" t="s">
        <v>108</v>
      </c>
      <c r="I32" s="62">
        <f>'Peripheral Domains'!E15</f>
        <v>80</v>
      </c>
      <c r="L32" t="str">
        <f>""</f>
        <v/>
      </c>
    </row>
    <row r="33" spans="1:12" x14ac:dyDescent="0.3">
      <c r="A33" s="26" t="s">
        <v>164</v>
      </c>
      <c r="B33" s="61" t="str">
        <f>"0bXXXXXXXX00000000000000000000XXX"&amp;DEC2BIN('LFAST Clocking'!$Y$33,1)</f>
        <v>0bXXXXXXXX00000000000000000000XXX0</v>
      </c>
      <c r="G33" s="106" t="s">
        <v>145</v>
      </c>
      <c r="H33" s="63" t="s">
        <v>105</v>
      </c>
      <c r="I33" s="61">
        <f>'Peripheral Domains'!G6</f>
        <v>45</v>
      </c>
      <c r="L33" s="40" t="str">
        <f>"      // Mode Transition to enter RUN0 mode: "</f>
        <v xml:space="preserve">      // Mode Transition to enter RUN0 mode: </v>
      </c>
    </row>
    <row r="34" spans="1:12" ht="15" thickBot="1" x14ac:dyDescent="0.35">
      <c r="A34" s="27" t="s">
        <v>165</v>
      </c>
      <c r="B34" s="62" t="str">
        <f>"0xXX0"&amp;DEC2HEX('LFAST Clocking'!$U$17,1)&amp;"X0XX"</f>
        <v>0xXX01X0XX</v>
      </c>
      <c r="G34" s="107"/>
      <c r="H34" s="63" t="s">
        <v>144</v>
      </c>
      <c r="I34" s="61">
        <f>'Peripheral Domains'!J6</f>
        <v>90</v>
      </c>
      <c r="L34" s="40" t="str">
        <f>"      MC_ME.MCTL.R = 0x40005AF0;"&amp;CHAR(9)&amp;CHAR(9)&amp;"    // Enter RUN0 Mode &amp; Key"</f>
        <v xml:space="preserve">      MC_ME.MCTL.R = 0x40005AF0;		    // Enter RUN0 Mode &amp; Key</v>
      </c>
    </row>
    <row r="35" spans="1:12" ht="15" thickBot="1" x14ac:dyDescent="0.35">
      <c r="G35" s="108"/>
      <c r="H35" s="64" t="s">
        <v>106</v>
      </c>
      <c r="I35" s="62">
        <f>'Peripheral Domains'!G6</f>
        <v>45</v>
      </c>
      <c r="L35" s="40" t="str">
        <f>"      MC_ME.MCTL.R = 0x4000A50F;"&amp;CHAR(9)&amp;CHAR(9)&amp;"    // Enter RUN0 Mode &amp; Inverted Key"</f>
        <v xml:space="preserve">      MC_ME.MCTL.R = 0x4000A50F;		    // Enter RUN0 Mode &amp; Inverted Key</v>
      </c>
    </row>
    <row r="36" spans="1:12" x14ac:dyDescent="0.3">
      <c r="G36" s="106" t="s">
        <v>146</v>
      </c>
      <c r="H36" s="63" t="s">
        <v>105</v>
      </c>
      <c r="I36" s="61">
        <f>'Peripheral Domains'!M6</f>
        <v>160</v>
      </c>
      <c r="L36" s="40" t="str">
        <f>"      while (MC_ME.GS.B.S_MTRANS) {};"&amp;CHAR(9)&amp;CHAR(9)&amp;"    // Wait for mode transition to complete"</f>
        <v xml:space="preserve">      while (MC_ME.GS.B.S_MTRANS) {};		    // Wait for mode transition to complete</v>
      </c>
    </row>
    <row r="37" spans="1:12" x14ac:dyDescent="0.3">
      <c r="G37" s="107"/>
      <c r="H37" s="63" t="s">
        <v>106</v>
      </c>
      <c r="I37" s="61">
        <f>'Peripheral Domains'!M6</f>
        <v>160</v>
      </c>
      <c r="L37" s="40" t="str">
        <f>"      while(MC_ME.GS.B.S_CURRENT_MODE != 4) {};"&amp;CHAR(9)&amp;"    // Verify RUN0 is the current mode"</f>
        <v xml:space="preserve">      while(MC_ME.GS.B.S_CURRENT_MODE != 4) {};	    // Verify RUN0 is the current mode</v>
      </c>
    </row>
    <row r="38" spans="1:12" ht="15" thickBot="1" x14ac:dyDescent="0.35">
      <c r="G38" s="108"/>
      <c r="H38" s="64" t="s">
        <v>109</v>
      </c>
      <c r="I38" s="62">
        <f>'Peripheral Domains'!G6</f>
        <v>45</v>
      </c>
      <c r="L38" s="40" t="str">
        <f>"}"</f>
        <v>}</v>
      </c>
    </row>
    <row r="39" spans="1:12" x14ac:dyDescent="0.3">
      <c r="G39" s="106" t="s">
        <v>147</v>
      </c>
      <c r="H39" s="63" t="s">
        <v>105</v>
      </c>
      <c r="I39" s="61">
        <f>'Peripheral Domains'!M6</f>
        <v>160</v>
      </c>
    </row>
    <row r="40" spans="1:12" x14ac:dyDescent="0.3">
      <c r="G40" s="107"/>
      <c r="H40" s="63" t="s">
        <v>106</v>
      </c>
      <c r="I40" s="61">
        <f>'Peripheral Domains'!M6</f>
        <v>160</v>
      </c>
      <c r="L40" t="str">
        <f>"void InitPeriClkGen(void)"</f>
        <v>void InitPeriClkGen(void)</v>
      </c>
    </row>
    <row r="41" spans="1:12" ht="15" thickBot="1" x14ac:dyDescent="0.35">
      <c r="G41" s="108"/>
      <c r="H41" s="64" t="s">
        <v>109</v>
      </c>
      <c r="I41" s="62">
        <f>'Peripheral Domains'!G6</f>
        <v>45</v>
      </c>
      <c r="L41" t="str">
        <f>"{"</f>
        <v>{</v>
      </c>
    </row>
    <row r="42" spans="1:12" x14ac:dyDescent="0.3">
      <c r="G42" s="106" t="s">
        <v>148</v>
      </c>
      <c r="H42" s="63" t="s">
        <v>105</v>
      </c>
      <c r="I42" s="61">
        <f>'Peripheral Domains'!G6</f>
        <v>45</v>
      </c>
      <c r="L42" t="str">
        <f>"      MC_CGM.SC_DC0.R = "&amp;B10&amp;";"&amp;CHAR(9)&amp;CHAR(9)&amp;"  //PBRIDGEx_CLK at system clock divided by "&amp;SUM(1,Tree!O16)&amp;" ("&amp;Tree!AA15&amp;" MHz)."</f>
        <v xml:space="preserve">      MC_CGM.SC_DC0.R = 0x80030000;		  //PBRIDGEx_CLK at system clock divided by 4 (45 MHz).</v>
      </c>
    </row>
    <row r="43" spans="1:12" x14ac:dyDescent="0.3">
      <c r="G43" s="107"/>
      <c r="H43" s="63" t="s">
        <v>106</v>
      </c>
      <c r="I43" s="61">
        <f>'Peripheral Domains'!G6</f>
        <v>45</v>
      </c>
      <c r="L43" t="str">
        <f>"      MC_CGM.AC0_SC.R = "&amp;B11&amp;";"&amp;CHAR(9)&amp;CHAR(9)&amp;"  //Select "&amp;IF(Tree!K28=0,"IRCOSC",IF(Tree!K28=1,"XOSC","PLL0_PHI"))&amp;" as source of Auxiliary Clock 0."</f>
        <v xml:space="preserve">      MC_CGM.AC0_SC.R = 0x02000000;		  //Select PLL0_PHI as source of Auxiliary Clock 0.</v>
      </c>
    </row>
    <row r="44" spans="1:12" ht="15" thickBot="1" x14ac:dyDescent="0.35">
      <c r="G44" s="108"/>
      <c r="H44" s="64" t="s">
        <v>108</v>
      </c>
      <c r="I44" s="62">
        <f>'Peripheral Domains'!E34</f>
        <v>80</v>
      </c>
      <c r="L44" t="str">
        <f>"      MC_CGM.AC0_DC0.R = "&amp;B12&amp;";"&amp;CHAR(9)&amp;CHAR(9)&amp;"  //MOTC_CLK: "&amp;IF(Tree!N22=0,"Disabled.", "Enabled at Auxiliary Clock 0 divide by "&amp;SUM(1,Tree!R22)&amp;"("&amp;Tree!AA21&amp;" MHz).")</f>
        <v xml:space="preserve">      MC_CGM.AC0_DC0.R = 0x80000000;		  //MOTC_CLK: Enabled at Auxiliary Clock 0 divide by 1(160 MHz).</v>
      </c>
    </row>
    <row r="45" spans="1:12" x14ac:dyDescent="0.3">
      <c r="G45" s="106" t="s">
        <v>33</v>
      </c>
      <c r="H45" s="63" t="s">
        <v>105</v>
      </c>
      <c r="I45" s="61">
        <f>'Peripheral Domains'!E36</f>
        <v>16</v>
      </c>
      <c r="L45" t="str">
        <f>"      MC_CGM.AC0_DC1.R = "&amp;B13&amp;";"&amp;CHAR(9)&amp;CHAR(9)&amp;"  //SGEN_CLK: "&amp;IF(Tree!N25=0,"Disabled.", "Enabled at Auxiliary Clock 0 divide by "&amp;SUM(1,Tree!R25)&amp;"("&amp;Tree!AA24&amp;" MHz).")</f>
        <v xml:space="preserve">      MC_CGM.AC0_DC1.R = 0x80090000;		  //SGEN_CLK: Enabled at Auxiliary Clock 0 divide by 10(16 MHz).</v>
      </c>
    </row>
    <row r="46" spans="1:12" x14ac:dyDescent="0.3">
      <c r="G46" s="107"/>
      <c r="H46" s="63" t="s">
        <v>106</v>
      </c>
      <c r="I46" s="61">
        <f>'Peripheral Domains'!E36</f>
        <v>16</v>
      </c>
      <c r="L46" t="str">
        <f>"      MC_CGM.AC0_DC2.R = "&amp;B14&amp;";"&amp;CHAR(9)&amp;CHAR(9)&amp;"  //ADC_CLK: "&amp;IF(Tree!N28=0,"Disabled.", "Enabled at Auxiliary Clock 0 divide by "&amp;SUM(1,Tree!R28)&amp;"("&amp;Tree!AA27&amp;" MHz).")</f>
        <v xml:space="preserve">      MC_CGM.AC0_DC2.R = 0x80010000;		  //ADC_CLK: Enabled at Auxiliary Clock 0 divide by 2(80 MHz).</v>
      </c>
    </row>
    <row r="47" spans="1:12" ht="15" thickBot="1" x14ac:dyDescent="0.35">
      <c r="G47" s="108"/>
      <c r="H47" s="64" t="s">
        <v>109</v>
      </c>
      <c r="I47" s="62">
        <f>'Peripheral Domains'!M6</f>
        <v>160</v>
      </c>
      <c r="L47" t="str">
        <f>""</f>
        <v/>
      </c>
    </row>
    <row r="48" spans="1:12" x14ac:dyDescent="0.3">
      <c r="G48" s="106" t="s">
        <v>149</v>
      </c>
      <c r="H48" s="63" t="s">
        <v>105</v>
      </c>
      <c r="I48" s="61">
        <f>'Peripheral Domains'!M6</f>
        <v>160</v>
      </c>
      <c r="L48" t="str">
        <f>"      /* Auxiliary Clock 1 is always sourced from PLL0_PHI. */"</f>
        <v xml:space="preserve">      /* Auxiliary Clock 1 is always sourced from PLL0_PHI. */</v>
      </c>
    </row>
    <row r="49" spans="7:12" x14ac:dyDescent="0.3">
      <c r="G49" s="107"/>
      <c r="H49" s="63" t="s">
        <v>106</v>
      </c>
      <c r="I49" s="61">
        <f>'Peripheral Domains'!M6</f>
        <v>160</v>
      </c>
      <c r="L49" t="str">
        <f>"      MC_CGM.AC1_DC0.R = "&amp;B15&amp;";"&amp;CHAR(9)&amp;CHAR(9)&amp;"  //FRAY_CLK: "&amp;IF(Tree!M54=0,"Disabled.","Enabled at Auxiliary Clock 1 divided by "&amp;SUM(1,Tree!Q54)&amp;" ("&amp;Tree!AA51&amp;" MHz).")</f>
        <v xml:space="preserve">      MC_CGM.AC1_DC0.R = 0x80010000;		  //FRAY_CLK: Enabled at Auxiliary Clock 1 divided by 2 (40 MHz).</v>
      </c>
    </row>
    <row r="50" spans="7:12" ht="15" thickBot="1" x14ac:dyDescent="0.35">
      <c r="G50" s="108"/>
      <c r="H50" s="64" t="s">
        <v>109</v>
      </c>
      <c r="I50" s="62">
        <f>'Peripheral Domains'!G6</f>
        <v>45</v>
      </c>
      <c r="L50" t="str">
        <f>"      MC_CGM.AC1_DC1.R = "&amp;B16&amp;";"&amp;CHAR(9)&amp;CHAR(9)&amp;"  //SENT_CLK: "&amp;IF(Tree!M57=0,"Disabled.","Enabled at Auxiliary Clock 1 divided by "&amp;SUM(1,Tree!Q57)&amp;" ("&amp;Tree!AA56&amp;" MHz).")</f>
        <v xml:space="preserve">      MC_CGM.AC1_DC1.R = 0x80010000;		  //SENT_CLK: Enabled at Auxiliary Clock 1 divided by 2 (80 MHz).</v>
      </c>
    </row>
    <row r="51" spans="7:12" x14ac:dyDescent="0.3">
      <c r="G51" s="106" t="s">
        <v>150</v>
      </c>
      <c r="H51" s="63" t="s">
        <v>105</v>
      </c>
      <c r="I51" s="61">
        <f>'Peripheral Domains'!G6</f>
        <v>45</v>
      </c>
      <c r="L51" t="str">
        <f>""</f>
        <v/>
      </c>
    </row>
    <row r="52" spans="7:12" ht="15" thickBot="1" x14ac:dyDescent="0.35">
      <c r="G52" s="108"/>
      <c r="H52" s="64" t="s">
        <v>106</v>
      </c>
      <c r="I52" s="62">
        <f>'Peripheral Domains'!G6</f>
        <v>45</v>
      </c>
      <c r="L52" t="str">
        <f>"      /* Auxiliary Clock 2 is always sourced from PLL0_PHI. */"</f>
        <v xml:space="preserve">      /* Auxiliary Clock 2 is always sourced from PLL0_PHI. */</v>
      </c>
    </row>
    <row r="53" spans="7:12" x14ac:dyDescent="0.3">
      <c r="G53" s="106" t="s">
        <v>151</v>
      </c>
      <c r="H53" s="63" t="s">
        <v>110</v>
      </c>
      <c r="I53" s="61">
        <f>'Peripheral Domains'!G6</f>
        <v>45</v>
      </c>
      <c r="L53" t="str">
        <f>"      MC_CGM.AC2_DC0.R = "&amp;B17&amp;";"&amp;CHAR(9)&amp;CHAR(9)&amp;"  //CAN_CLK: "&amp;IF(Tree!F53=0,"Disabled.","Enabled at Auxiliary Clock 2 divided by "&amp;SUM(1,Tree!D53)&amp;" ("&amp;Tree!B57&amp;" MHz).")</f>
        <v xml:space="preserve">      MC_CGM.AC2_DC0.R = 0x80010000;		  //CAN_CLK: Enabled at Auxiliary Clock 2 divided by 2 (80 MHz).</v>
      </c>
    </row>
    <row r="54" spans="7:12" ht="15" thickBot="1" x14ac:dyDescent="0.35">
      <c r="G54" s="108"/>
      <c r="H54" s="64" t="s">
        <v>111</v>
      </c>
      <c r="I54" s="62">
        <f>'Peripheral Domains'!P6</f>
        <v>16</v>
      </c>
    </row>
    <row r="55" spans="7:12" x14ac:dyDescent="0.3">
      <c r="G55" s="106" t="s">
        <v>152</v>
      </c>
      <c r="H55" s="63" t="s">
        <v>110</v>
      </c>
      <c r="I55" s="61">
        <f>'Peripheral Domains'!G6</f>
        <v>45</v>
      </c>
      <c r="L55" t="str">
        <f>"      MC_CGM.AC5_SC.R = "&amp;B20&amp;";"&amp;CHAR(9)&amp;CHAR(9)&amp;"  //Select "&amp;IF(Tree!K46=1,"XOSC",IF(Tree!K46=2,"PLL0_PHI","LFAST_REF_CLK"))&amp;" as source of Auxiliary Clock 5."</f>
        <v xml:space="preserve">      MC_CGM.AC5_SC.R = 0x02000000;		  //Select PLL0_PHI as source of Auxiliary Clock 5.</v>
      </c>
    </row>
    <row r="56" spans="7:12" ht="15" thickBot="1" x14ac:dyDescent="0.35">
      <c r="G56" s="110"/>
      <c r="H56" s="64" t="s">
        <v>111</v>
      </c>
      <c r="I56" s="62">
        <f>'Peripheral Domains'!P6</f>
        <v>16</v>
      </c>
      <c r="L56" t="str">
        <f>"      MC_CGM.AC5_DC0.R = "&amp;B21&amp;";"&amp;CHAR(9)&amp;CHAR(9)&amp;"  //LFAST_PLL: "&amp;IF(Tree!N43=0,"Disabled.","Enabled at Auxiliary Clock 5 divided by "&amp;SUM(1,Tree!R43)&amp;" ("&amp;Tree!AA42&amp;" MHz).")</f>
        <v xml:space="preserve">      MC_CGM.AC5_DC0.R = 0x80070000;		  //LFAST_PLL: Enabled at Auxiliary Clock 5 divided by 8 (20 MHz).</v>
      </c>
    </row>
    <row r="57" spans="7:12" x14ac:dyDescent="0.3">
      <c r="G57" s="106" t="s">
        <v>112</v>
      </c>
      <c r="H57" s="66" t="s">
        <v>110</v>
      </c>
      <c r="I57" s="61">
        <f>'Peripheral Domains'!G6</f>
        <v>45</v>
      </c>
      <c r="L57" t="str">
        <f>""</f>
        <v/>
      </c>
    </row>
    <row r="58" spans="7:12" ht="15" thickBot="1" x14ac:dyDescent="0.35">
      <c r="G58" s="110"/>
      <c r="H58" s="64" t="s">
        <v>111</v>
      </c>
      <c r="I58" s="62">
        <f>'Peripheral Domains'!P6</f>
        <v>16</v>
      </c>
      <c r="L58" t="str">
        <f>"      MC_CGM.AC6_SC.R = "&amp;B22&amp;";"&amp;CHAR(9)&amp;CHAR(9)&amp;"  //Select "&amp;IF(Tree!K37=0,"IRCOSC",IF(Tree!K46=1,"XOSC",IF(Tree!K37=2,"PLL0_PHI","PLL1_PHI")))&amp;" as source of Auxiliary Clock 6."</f>
        <v xml:space="preserve">      MC_CGM.AC6_SC.R = 0x04000000;		  //Select PLL1_PHI as source of Auxiliary Clock 6.</v>
      </c>
    </row>
    <row r="59" spans="7:12" ht="15" thickBot="1" x14ac:dyDescent="0.35">
      <c r="G59" s="69" t="s">
        <v>153</v>
      </c>
      <c r="H59" s="64" t="s">
        <v>96</v>
      </c>
      <c r="I59" s="73">
        <f>'Peripheral Domains'!G6</f>
        <v>45</v>
      </c>
      <c r="L59" t="str">
        <f>"      MC_CGM.AC6_DC0.R = "&amp;B23&amp;";"&amp;CHAR(9)&amp;CHAR(9)&amp;"  //CLKOUT0: "&amp;IF(Tree!N34=0,"Disabled.","Enabled at Auxiliary Clock 6 divided by "&amp;SUM(1,Tree!R34)&amp;" ("&amp;Tree!AA33&amp;" MHz).")</f>
        <v xml:space="preserve">      MC_CGM.AC6_DC0.R = 0x80000000;		  //CLKOUT0: Enabled at Auxiliary Clock 6 divided by 1 (180 MHz).</v>
      </c>
    </row>
    <row r="60" spans="7:12" x14ac:dyDescent="0.3">
      <c r="G60" s="106" t="s">
        <v>113</v>
      </c>
      <c r="H60" s="66" t="s">
        <v>106</v>
      </c>
      <c r="I60" s="61">
        <f>'Peripheral Domains'!G6</f>
        <v>45</v>
      </c>
    </row>
    <row r="61" spans="7:12" ht="15" thickBot="1" x14ac:dyDescent="0.35">
      <c r="G61" s="110"/>
      <c r="H61" s="64" t="s">
        <v>114</v>
      </c>
      <c r="I61" s="62">
        <f>'Peripheral Domains'!P6</f>
        <v>16</v>
      </c>
      <c r="L61" t="str">
        <f>"      MC_CGM.AC10_SC.R = "&amp;B24&amp;";"&amp;CHAR(9)&amp;CHAR(9)&amp;"  //Select "&amp;IF(Tree!K69=0,"IRCOSC",IF(Tree!K69=1,"XOSC",IF(Tree!K69=2,"PLL0_PHI",IF(Tree!K69=3,"PLL0_PHI1",IF(Tree!K69=4,"PLL1_PHI","RMII_CLK")))))&amp;" as source of Auxiliary Clock 10."</f>
        <v xml:space="preserve">      MC_CGM.AC10_SC.R = 0x04000000;		  //Select PLL1_PHI as source of Auxiliary Clock 10.</v>
      </c>
    </row>
    <row r="62" spans="7:12" ht="15" thickBot="1" x14ac:dyDescent="0.35">
      <c r="G62" s="67" t="s">
        <v>115</v>
      </c>
      <c r="H62" s="68" t="s">
        <v>106</v>
      </c>
      <c r="I62" s="73">
        <f>'Peripheral Domains'!G114</f>
        <v>45</v>
      </c>
      <c r="L62" t="str">
        <f>"      MC_CGM.AC10_DC0.R = "&amp;B25&amp;";"&amp;CHAR(9)&amp;CHAR(9)&amp;"  //ENET_CLK: "&amp;IF(Tree!M66=0,"Disabled.","Enabled at Auxiliary Clock 10 divided by "&amp;SUM(1,Tree!Q66)&amp;" ("&amp;Tree!AA65&amp;" MHz).")</f>
        <v xml:space="preserve">      MC_CGM.AC10_DC0.R = 0x80030000;		  //ENET_CLK: Enabled at Auxiliary Clock 10 divided by 4 (45 MHz).</v>
      </c>
    </row>
    <row r="63" spans="7:12" ht="15" thickBot="1" x14ac:dyDescent="0.35">
      <c r="G63" s="69" t="s">
        <v>116</v>
      </c>
      <c r="H63" s="64" t="s">
        <v>106</v>
      </c>
      <c r="I63" s="73">
        <f>'Peripheral Domains'!G114</f>
        <v>45</v>
      </c>
    </row>
    <row r="64" spans="7:12" x14ac:dyDescent="0.3">
      <c r="G64" s="106" t="s">
        <v>117</v>
      </c>
      <c r="H64" s="66" t="s">
        <v>110</v>
      </c>
      <c r="I64" s="61">
        <f>'Peripheral Domains'!G114</f>
        <v>45</v>
      </c>
      <c r="L64" t="str">
        <f>"      MC_CGM.AC11_SC.R = "&amp;B26&amp;";"&amp;CHAR(9)&amp;CHAR(9)&amp;"  //Select "&amp;IF(Tree!K83=0,"IRCOSC",IF(Tree!K83=1,"XOSC",IF(Tree!K83=2,"PLL0_PHI",IF(Tree!K83=3,"PLL0_PHI1",IF(Tree!K83=4,"PLL1_PHI","RMII_CLK")))))&amp;" as source of Auxiliary Clock 11."</f>
        <v xml:space="preserve">      MC_CGM.AC11_SC.R = 0x04000000;		  //Select PLL1_PHI as source of Auxiliary Clock 11.</v>
      </c>
    </row>
    <row r="65" spans="7:12" ht="15" thickBot="1" x14ac:dyDescent="0.35">
      <c r="G65" s="110"/>
      <c r="H65" s="64" t="s">
        <v>111</v>
      </c>
      <c r="I65" s="62">
        <f>'Peripheral Domains'!P114</f>
        <v>16</v>
      </c>
      <c r="L65" t="str">
        <f>"      MC_CGM.AC11_DC0.R = "&amp;B27&amp;";"&amp;CHAR(9)&amp;CHAR(9)&amp;"  //ENET_TIME_CLK: "&amp;IF(Tree!M80=0,"Disabled.","Enabled at Auxiliary Clock 10 divided by "&amp;SUM(1,Tree!Q80)&amp;" ("&amp;Tree!AA79&amp;" MHz).")</f>
        <v xml:space="preserve">      MC_CGM.AC11_DC0.R = 0x80030000;		  //ENET_TIME_CLK: Enabled at Auxiliary Clock 10 divided by 4 (45 MHz).</v>
      </c>
    </row>
    <row r="66" spans="7:12" ht="15" thickBot="1" x14ac:dyDescent="0.35">
      <c r="G66" s="70" t="s">
        <v>118</v>
      </c>
      <c r="H66" s="68" t="s">
        <v>106</v>
      </c>
      <c r="I66" s="73">
        <f>'Peripheral Domains'!G114</f>
        <v>45</v>
      </c>
      <c r="L66" t="str">
        <f>"}"</f>
        <v>}</v>
      </c>
    </row>
    <row r="67" spans="7:12" ht="15" thickBot="1" x14ac:dyDescent="0.35">
      <c r="G67" s="70" t="s">
        <v>119</v>
      </c>
      <c r="H67" s="68" t="s">
        <v>106</v>
      </c>
      <c r="I67" s="73">
        <f>'Peripheral Domains'!G114</f>
        <v>45</v>
      </c>
    </row>
    <row r="68" spans="7:12" ht="15" thickBot="1" x14ac:dyDescent="0.35">
      <c r="G68" s="70" t="s">
        <v>120</v>
      </c>
      <c r="H68" s="68" t="s">
        <v>106</v>
      </c>
      <c r="I68" s="73">
        <f>'Peripheral Domains'!G114</f>
        <v>45</v>
      </c>
    </row>
    <row r="69" spans="7:12" ht="15" thickBot="1" x14ac:dyDescent="0.35">
      <c r="G69" s="67" t="s">
        <v>154</v>
      </c>
      <c r="H69" s="68" t="s">
        <v>106</v>
      </c>
      <c r="I69" s="73">
        <f>'Peripheral Domains'!G114</f>
        <v>45</v>
      </c>
    </row>
    <row r="70" spans="7:12" x14ac:dyDescent="0.3">
      <c r="G70" s="106" t="s">
        <v>122</v>
      </c>
      <c r="H70" s="63" t="s">
        <v>121</v>
      </c>
      <c r="I70" s="61">
        <f>'Peripheral Domains'!R6</f>
        <v>80</v>
      </c>
    </row>
    <row r="71" spans="7:12" x14ac:dyDescent="0.3">
      <c r="G71" s="107"/>
      <c r="H71" s="63" t="s">
        <v>105</v>
      </c>
      <c r="I71" s="61">
        <f>'Peripheral Domains'!R6</f>
        <v>80</v>
      </c>
    </row>
    <row r="72" spans="7:12" ht="15" thickBot="1" x14ac:dyDescent="0.35">
      <c r="G72" s="108"/>
      <c r="H72" s="64" t="s">
        <v>106</v>
      </c>
      <c r="I72" s="62">
        <f>'Peripheral Domains'!G6</f>
        <v>45</v>
      </c>
    </row>
    <row r="73" spans="7:12" x14ac:dyDescent="0.3">
      <c r="G73" s="106" t="s">
        <v>155</v>
      </c>
      <c r="H73" s="63" t="s">
        <v>105</v>
      </c>
      <c r="I73" s="61">
        <f>'Peripheral Domains'!G6</f>
        <v>45</v>
      </c>
    </row>
    <row r="74" spans="7:12" ht="15" thickBot="1" x14ac:dyDescent="0.35">
      <c r="G74" s="110"/>
      <c r="H74" s="64" t="s">
        <v>108</v>
      </c>
      <c r="I74" s="62" t="e">
        <f>'Peripheral Domains'!R25</f>
        <v>#REF!</v>
      </c>
    </row>
    <row r="75" spans="7:12" ht="15" thickBot="1" x14ac:dyDescent="0.35">
      <c r="G75" s="65" t="s">
        <v>156</v>
      </c>
      <c r="H75" s="68" t="s">
        <v>96</v>
      </c>
      <c r="I75" s="73">
        <f>'Peripheral Domains'!G6</f>
        <v>45</v>
      </c>
    </row>
    <row r="76" spans="7:12" x14ac:dyDescent="0.3">
      <c r="G76" s="106" t="s">
        <v>38</v>
      </c>
      <c r="H76" s="63" t="s">
        <v>105</v>
      </c>
      <c r="I76" s="61">
        <f>'Peripheral Domains'!R32</f>
        <v>45</v>
      </c>
    </row>
    <row r="77" spans="7:12" x14ac:dyDescent="0.3">
      <c r="G77" s="107"/>
      <c r="H77" s="63" t="s">
        <v>157</v>
      </c>
      <c r="I77" s="61">
        <f>'Peripheral Domains'!R33</f>
        <v>45</v>
      </c>
    </row>
    <row r="78" spans="7:12" x14ac:dyDescent="0.3">
      <c r="G78" s="107"/>
      <c r="H78" s="63" t="s">
        <v>158</v>
      </c>
      <c r="I78" s="61">
        <f>'Peripheral Domains'!J6</f>
        <v>90</v>
      </c>
    </row>
    <row r="79" spans="7:12" ht="15" thickBot="1" x14ac:dyDescent="0.35">
      <c r="G79" s="108"/>
      <c r="H79" s="64" t="s">
        <v>106</v>
      </c>
      <c r="I79" s="62">
        <f>'Peripheral Domains'!G6</f>
        <v>45</v>
      </c>
    </row>
    <row r="80" spans="7:12" x14ac:dyDescent="0.3">
      <c r="G80" s="106" t="s">
        <v>123</v>
      </c>
      <c r="H80" s="63" t="s">
        <v>158</v>
      </c>
      <c r="I80" s="61">
        <f>'Peripheral Domains'!J6</f>
        <v>90</v>
      </c>
    </row>
    <row r="81" spans="7:9" ht="15" thickBot="1" x14ac:dyDescent="0.35">
      <c r="G81" s="110"/>
      <c r="H81" s="64" t="s">
        <v>106</v>
      </c>
      <c r="I81" s="62">
        <f>'Peripheral Domains'!G6</f>
        <v>45</v>
      </c>
    </row>
    <row r="82" spans="7:9" x14ac:dyDescent="0.3">
      <c r="G82" s="106" t="s">
        <v>124</v>
      </c>
      <c r="H82" s="66" t="s">
        <v>105</v>
      </c>
      <c r="I82" s="61">
        <f>'Peripheral Domains'!J6</f>
        <v>90</v>
      </c>
    </row>
    <row r="83" spans="7:9" ht="15" thickBot="1" x14ac:dyDescent="0.35">
      <c r="G83" s="108"/>
      <c r="H83" s="64" t="s">
        <v>106</v>
      </c>
      <c r="I83" s="62">
        <f>'Peripheral Domains'!J6</f>
        <v>90</v>
      </c>
    </row>
    <row r="84" spans="7:9" ht="15" thickBot="1" x14ac:dyDescent="0.35">
      <c r="G84" s="67" t="s">
        <v>159</v>
      </c>
      <c r="H84" s="68" t="s">
        <v>106</v>
      </c>
      <c r="I84" s="73">
        <f>'Peripheral Domains'!G6</f>
        <v>45</v>
      </c>
    </row>
    <row r="85" spans="7:9" ht="15" thickBot="1" x14ac:dyDescent="0.35">
      <c r="G85" s="67" t="s">
        <v>160</v>
      </c>
      <c r="H85" s="68" t="s">
        <v>106</v>
      </c>
      <c r="I85" s="73">
        <f>'Peripheral Domains'!$G$6</f>
        <v>45</v>
      </c>
    </row>
    <row r="86" spans="7:9" ht="15" thickBot="1" x14ac:dyDescent="0.35">
      <c r="G86" s="67" t="s">
        <v>128</v>
      </c>
      <c r="H86" s="68" t="s">
        <v>106</v>
      </c>
      <c r="I86" s="73">
        <f>'Peripheral Domains'!$G$6</f>
        <v>45</v>
      </c>
    </row>
    <row r="87" spans="7:9" x14ac:dyDescent="0.3">
      <c r="G87" s="106" t="s">
        <v>127</v>
      </c>
      <c r="H87" s="66" t="s">
        <v>106</v>
      </c>
      <c r="I87" s="61">
        <f>'Peripheral Domains'!$R$66</f>
        <v>180</v>
      </c>
    </row>
    <row r="88" spans="7:9" ht="15" thickBot="1" x14ac:dyDescent="0.35">
      <c r="G88" s="108"/>
      <c r="H88" s="64" t="s">
        <v>126</v>
      </c>
      <c r="I88" s="62">
        <f>'Peripheral Domains'!$R$66</f>
        <v>180</v>
      </c>
    </row>
    <row r="89" spans="7:9" x14ac:dyDescent="0.3">
      <c r="G89" s="106" t="s">
        <v>125</v>
      </c>
      <c r="H89" s="66" t="s">
        <v>106</v>
      </c>
      <c r="I89" s="61">
        <f>'Peripheral Domains'!$R$66</f>
        <v>180</v>
      </c>
    </row>
    <row r="90" spans="7:9" ht="15" thickBot="1" x14ac:dyDescent="0.35">
      <c r="G90" s="108"/>
      <c r="H90" s="64" t="s">
        <v>126</v>
      </c>
      <c r="I90" s="62">
        <f>'Peripheral Domains'!$J$114</f>
        <v>90</v>
      </c>
    </row>
    <row r="91" spans="7:9" x14ac:dyDescent="0.3">
      <c r="G91" s="106" t="s">
        <v>34</v>
      </c>
      <c r="H91" s="63" t="s">
        <v>105</v>
      </c>
      <c r="I91" s="61">
        <f>'Peripheral Domains'!$G$6</f>
        <v>45</v>
      </c>
    </row>
    <row r="92" spans="7:9" x14ac:dyDescent="0.3">
      <c r="G92" s="107"/>
      <c r="H92" s="63" t="s">
        <v>106</v>
      </c>
      <c r="I92" s="61">
        <f>'Peripheral Domains'!$G$6</f>
        <v>45</v>
      </c>
    </row>
    <row r="93" spans="7:9" x14ac:dyDescent="0.3">
      <c r="G93" s="107"/>
      <c r="H93" s="63" t="s">
        <v>161</v>
      </c>
      <c r="I93" s="61">
        <f>'Peripheral Domains'!$R$45</f>
        <v>20</v>
      </c>
    </row>
    <row r="94" spans="7:9" x14ac:dyDescent="0.3">
      <c r="G94" s="107"/>
      <c r="H94" s="63" t="s">
        <v>129</v>
      </c>
      <c r="I94" s="61">
        <f>'LFAST Clocking'!H61</f>
        <v>45</v>
      </c>
    </row>
    <row r="95" spans="7:9" x14ac:dyDescent="0.3">
      <c r="G95" s="107"/>
      <c r="H95" s="63" t="s">
        <v>130</v>
      </c>
      <c r="I95" s="61">
        <f>'LFAST Clocking'!H61</f>
        <v>45</v>
      </c>
    </row>
    <row r="96" spans="7:9" x14ac:dyDescent="0.3">
      <c r="G96" s="107"/>
      <c r="H96" s="63" t="s">
        <v>131</v>
      </c>
      <c r="I96" s="61">
        <f>'LFAST Clocking'!$P$43</f>
        <v>320</v>
      </c>
    </row>
    <row r="97" spans="7:9" x14ac:dyDescent="0.3">
      <c r="G97" s="107"/>
      <c r="H97" s="63" t="s">
        <v>132</v>
      </c>
      <c r="I97" s="61">
        <f>'LFAST Clocking'!$P$52</f>
        <v>320</v>
      </c>
    </row>
    <row r="98" spans="7:9" x14ac:dyDescent="0.3">
      <c r="G98" s="107"/>
      <c r="H98" s="63" t="s">
        <v>133</v>
      </c>
      <c r="I98" s="61">
        <f>'LFAST Clocking'!$R$13</f>
        <v>10</v>
      </c>
    </row>
    <row r="99" spans="7:9" x14ac:dyDescent="0.3">
      <c r="G99" s="107"/>
      <c r="H99" s="63" t="s">
        <v>134</v>
      </c>
      <c r="I99" s="61">
        <f>'LFAST Clocking'!$N$17</f>
        <v>5</v>
      </c>
    </row>
    <row r="100" spans="7:9" x14ac:dyDescent="0.3">
      <c r="G100" s="107"/>
      <c r="H100" s="63" t="s">
        <v>135</v>
      </c>
      <c r="I100" s="61">
        <f>'LFAST Clocking'!$S$21</f>
        <v>320</v>
      </c>
    </row>
    <row r="101" spans="7:9" ht="15" thickBot="1" x14ac:dyDescent="0.35">
      <c r="G101" s="109"/>
      <c r="H101" s="71" t="s">
        <v>136</v>
      </c>
      <c r="I101" s="72">
        <f>'LFAST Clocking'!$S$23</f>
        <v>320</v>
      </c>
    </row>
    <row r="102" spans="7:9" ht="15" thickTop="1" x14ac:dyDescent="0.3"/>
  </sheetData>
  <mergeCells count="22">
    <mergeCell ref="G8:G29"/>
    <mergeCell ref="G55:G56"/>
    <mergeCell ref="G70:G72"/>
    <mergeCell ref="G33:G35"/>
    <mergeCell ref="G30:G32"/>
    <mergeCell ref="G36:G38"/>
    <mergeCell ref="G39:G41"/>
    <mergeCell ref="G42:G44"/>
    <mergeCell ref="G45:G47"/>
    <mergeCell ref="G48:G50"/>
    <mergeCell ref="G73:G74"/>
    <mergeCell ref="G51:G52"/>
    <mergeCell ref="G53:G54"/>
    <mergeCell ref="G57:G58"/>
    <mergeCell ref="G60:G61"/>
    <mergeCell ref="G64:G65"/>
    <mergeCell ref="G76:G79"/>
    <mergeCell ref="G82:G83"/>
    <mergeCell ref="G87:G88"/>
    <mergeCell ref="G89:G90"/>
    <mergeCell ref="G91:G101"/>
    <mergeCell ref="G80:G81"/>
  </mergeCells>
  <dataValidations count="1">
    <dataValidation allowBlank="1" showInputMessage="1" showErrorMessage="1" promptTitle="Note" prompt="LPU_MDIS has 3 bits for CMP0, CMP1, and CMP2, respectively. This tool only has 1 block representing all three instances. When CMPn LPU Enable block is 1, this tool sets all three associated bits." sqref="H11"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_CopyClock">
              <controlPr defaultSize="0" print="0" autoFill="0" autoPict="0" macro="[0]!Button_CopyClock">
                <anchor moveWithCells="1" sizeWithCells="1">
                  <from>
                    <xdr:col>16</xdr:col>
                    <xdr:colOff>403860</xdr:colOff>
                    <xdr:row>4</xdr:row>
                    <xdr:rowOff>45720</xdr:rowOff>
                  </from>
                  <to>
                    <xdr:col>18</xdr:col>
                    <xdr:colOff>106680</xdr:colOff>
                    <xdr:row>5</xdr:row>
                    <xdr:rowOff>106680</xdr:rowOff>
                  </to>
                </anchor>
              </controlPr>
            </control>
          </mc:Choice>
        </mc:AlternateContent>
        <mc:AlternateContent xmlns:mc="http://schemas.openxmlformats.org/markup-compatibility/2006">
          <mc:Choice Requires="x14">
            <control shapeId="10242" r:id="rId5" name="Button 2">
              <controlPr defaultSize="0" print="0" autoFill="0" autoPict="0" macro="[0]!Button_CopyPeriClkGen">
                <anchor moveWithCells="1">
                  <from>
                    <xdr:col>16</xdr:col>
                    <xdr:colOff>464820</xdr:colOff>
                    <xdr:row>38</xdr:row>
                    <xdr:rowOff>60960</xdr:rowOff>
                  </from>
                  <to>
                    <xdr:col>18</xdr:col>
                    <xdr:colOff>175260</xdr:colOff>
                    <xdr:row>39</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2:D92"/>
  <sheetViews>
    <sheetView topLeftCell="A49" zoomScale="85" zoomScaleNormal="85" workbookViewId="0">
      <selection activeCell="C80" sqref="C80"/>
    </sheetView>
  </sheetViews>
  <sheetFormatPr baseColWidth="10" defaultColWidth="8.88671875" defaultRowHeight="14.4" x14ac:dyDescent="0.3"/>
  <cols>
    <col min="1" max="1" width="33.33203125" customWidth="1"/>
    <col min="2" max="2" width="10.44140625" bestFit="1" customWidth="1"/>
    <col min="3" max="3" width="10.44140625" customWidth="1"/>
    <col min="4" max="4" width="44.109375" bestFit="1" customWidth="1"/>
    <col min="5" max="5" width="73.6640625" bestFit="1" customWidth="1"/>
  </cols>
  <sheetData>
    <row r="2" spans="1:4" x14ac:dyDescent="0.3">
      <c r="A2" s="112" t="s">
        <v>21</v>
      </c>
      <c r="B2" s="113"/>
    </row>
    <row r="3" spans="1:4" x14ac:dyDescent="0.3">
      <c r="A3" s="30" t="s">
        <v>43</v>
      </c>
      <c r="B3" s="31">
        <v>8</v>
      </c>
    </row>
    <row r="4" spans="1:4" x14ac:dyDescent="0.3">
      <c r="A4" s="29" t="s">
        <v>48</v>
      </c>
      <c r="B4" s="33">
        <v>40</v>
      </c>
    </row>
    <row r="5" spans="1:4" ht="15" customHeight="1" x14ac:dyDescent="0.3">
      <c r="A5" s="30" t="s">
        <v>224</v>
      </c>
      <c r="B5" s="31">
        <v>8</v>
      </c>
      <c r="D5" s="21"/>
    </row>
    <row r="6" spans="1:4" x14ac:dyDescent="0.3">
      <c r="A6" s="29" t="s">
        <v>225</v>
      </c>
      <c r="B6" s="33">
        <v>20</v>
      </c>
      <c r="D6" s="21"/>
    </row>
    <row r="7" spans="1:4" x14ac:dyDescent="0.3">
      <c r="A7" s="30" t="s">
        <v>22</v>
      </c>
      <c r="B7" s="32">
        <v>600</v>
      </c>
      <c r="D7" s="21"/>
    </row>
    <row r="8" spans="1:4" x14ac:dyDescent="0.3">
      <c r="A8" s="29" t="s">
        <v>24</v>
      </c>
      <c r="B8" s="33">
        <v>1250</v>
      </c>
      <c r="D8" s="21"/>
    </row>
    <row r="9" spans="1:4" x14ac:dyDescent="0.3">
      <c r="A9" s="30" t="s">
        <v>45</v>
      </c>
      <c r="B9" s="32">
        <v>4.76</v>
      </c>
      <c r="D9" s="21"/>
    </row>
    <row r="10" spans="1:4" x14ac:dyDescent="0.3">
      <c r="A10" s="29" t="s">
        <v>44</v>
      </c>
      <c r="B10" s="33">
        <v>625</v>
      </c>
      <c r="D10" s="21"/>
    </row>
    <row r="11" spans="1:4" x14ac:dyDescent="0.3">
      <c r="A11" s="30" t="s">
        <v>10</v>
      </c>
      <c r="B11" s="32">
        <v>20</v>
      </c>
      <c r="D11" s="21"/>
    </row>
    <row r="12" spans="1:4" x14ac:dyDescent="0.3">
      <c r="A12" s="29" t="s">
        <v>11</v>
      </c>
      <c r="B12" s="33">
        <v>156</v>
      </c>
      <c r="D12" s="21"/>
    </row>
    <row r="13" spans="1:4" x14ac:dyDescent="0.3">
      <c r="A13" s="30" t="s">
        <v>46</v>
      </c>
      <c r="B13" s="32">
        <v>38</v>
      </c>
      <c r="D13" s="21"/>
    </row>
    <row r="14" spans="1:4" x14ac:dyDescent="0.3">
      <c r="A14" s="29" t="s">
        <v>47</v>
      </c>
      <c r="B14" s="33">
        <v>78</v>
      </c>
      <c r="D14" s="21"/>
    </row>
    <row r="15" spans="1:4" x14ac:dyDescent="0.3">
      <c r="A15" s="30" t="s">
        <v>23</v>
      </c>
      <c r="B15" s="32">
        <v>600</v>
      </c>
      <c r="D15" s="21"/>
    </row>
    <row r="16" spans="1:4" x14ac:dyDescent="0.3">
      <c r="A16" s="29" t="s">
        <v>25</v>
      </c>
      <c r="B16" s="33">
        <v>1250</v>
      </c>
      <c r="D16" s="21"/>
    </row>
    <row r="17" spans="1:4" x14ac:dyDescent="0.3">
      <c r="A17" s="30" t="s">
        <v>49</v>
      </c>
      <c r="B17" s="32">
        <v>4.76</v>
      </c>
      <c r="D17" s="8"/>
    </row>
    <row r="18" spans="1:4" x14ac:dyDescent="0.3">
      <c r="A18" s="29" t="s">
        <v>50</v>
      </c>
      <c r="B18" s="33">
        <v>625</v>
      </c>
      <c r="D18" s="8"/>
    </row>
    <row r="20" spans="1:4" ht="15" thickBot="1" x14ac:dyDescent="0.35"/>
    <row r="21" spans="1:4" x14ac:dyDescent="0.3">
      <c r="A21" s="34" t="s">
        <v>30</v>
      </c>
      <c r="B21" s="35" t="s">
        <v>31</v>
      </c>
    </row>
    <row r="22" spans="1:4" x14ac:dyDescent="0.3">
      <c r="A22" s="19" t="s">
        <v>26</v>
      </c>
      <c r="B22" s="26">
        <v>200</v>
      </c>
    </row>
    <row r="23" spans="1:4" x14ac:dyDescent="0.3">
      <c r="A23" s="19" t="s">
        <v>27</v>
      </c>
      <c r="B23" s="26">
        <v>50</v>
      </c>
    </row>
    <row r="24" spans="1:4" x14ac:dyDescent="0.3">
      <c r="A24" s="19" t="s">
        <v>28</v>
      </c>
      <c r="B24" s="26">
        <v>160</v>
      </c>
    </row>
    <row r="25" spans="1:4" x14ac:dyDescent="0.3">
      <c r="A25" s="19" t="s">
        <v>29</v>
      </c>
      <c r="B25" s="26">
        <v>100</v>
      </c>
    </row>
    <row r="26" spans="1:4" x14ac:dyDescent="0.3">
      <c r="A26" s="19" t="s">
        <v>32</v>
      </c>
      <c r="B26" s="26">
        <v>80</v>
      </c>
    </row>
    <row r="27" spans="1:4" x14ac:dyDescent="0.3">
      <c r="A27" s="19" t="s">
        <v>33</v>
      </c>
      <c r="B27" s="26">
        <v>20</v>
      </c>
    </row>
    <row r="28" spans="1:4" x14ac:dyDescent="0.3">
      <c r="A28" s="19" t="s">
        <v>34</v>
      </c>
      <c r="B28" s="26">
        <v>26</v>
      </c>
    </row>
    <row r="29" spans="1:4" x14ac:dyDescent="0.3">
      <c r="A29" s="19" t="s">
        <v>141</v>
      </c>
      <c r="B29" s="26">
        <v>320</v>
      </c>
    </row>
    <row r="30" spans="1:4" ht="15" thickBot="1" x14ac:dyDescent="0.35">
      <c r="A30" s="19" t="s">
        <v>228</v>
      </c>
      <c r="B30" s="26">
        <v>640</v>
      </c>
    </row>
    <row r="31" spans="1:4" ht="15" thickBot="1" x14ac:dyDescent="0.35">
      <c r="A31" s="19" t="s">
        <v>35</v>
      </c>
      <c r="B31" s="26">
        <v>80</v>
      </c>
      <c r="C31" s="75">
        <v>40</v>
      </c>
    </row>
    <row r="32" spans="1:4" x14ac:dyDescent="0.3">
      <c r="A32" s="19" t="s">
        <v>36</v>
      </c>
      <c r="B32" s="26">
        <v>80</v>
      </c>
    </row>
    <row r="33" spans="1:3" x14ac:dyDescent="0.3">
      <c r="A33" s="19" t="s">
        <v>37</v>
      </c>
      <c r="B33" s="26">
        <v>80</v>
      </c>
    </row>
    <row r="34" spans="1:3" x14ac:dyDescent="0.3">
      <c r="A34" s="19" t="s">
        <v>38</v>
      </c>
      <c r="B34" s="26">
        <v>100</v>
      </c>
    </row>
    <row r="35" spans="1:3" x14ac:dyDescent="0.3">
      <c r="A35" s="19" t="s">
        <v>39</v>
      </c>
      <c r="B35" s="26">
        <v>50</v>
      </c>
    </row>
    <row r="36" spans="1:3" ht="15" thickBot="1" x14ac:dyDescent="0.35">
      <c r="A36" s="20" t="s">
        <v>40</v>
      </c>
      <c r="B36" s="27">
        <v>50</v>
      </c>
    </row>
    <row r="37" spans="1:3" ht="15" thickBot="1" x14ac:dyDescent="0.35"/>
    <row r="38" spans="1:3" x14ac:dyDescent="0.3">
      <c r="A38" s="34" t="s">
        <v>167</v>
      </c>
      <c r="B38" s="35" t="s">
        <v>168</v>
      </c>
      <c r="C38" s="35" t="s">
        <v>169</v>
      </c>
    </row>
    <row r="39" spans="1:3" x14ac:dyDescent="0.3">
      <c r="A39" s="19" t="s">
        <v>170</v>
      </c>
      <c r="B39" s="26">
        <v>40</v>
      </c>
      <c r="C39" s="26">
        <v>40</v>
      </c>
    </row>
    <row r="40" spans="1:3" x14ac:dyDescent="0.3">
      <c r="A40" s="19" t="s">
        <v>171</v>
      </c>
      <c r="B40" s="26">
        <v>20</v>
      </c>
      <c r="C40" s="26">
        <v>40</v>
      </c>
    </row>
    <row r="41" spans="1:3" x14ac:dyDescent="0.3">
      <c r="A41" s="19" t="s">
        <v>172</v>
      </c>
      <c r="B41" s="26">
        <v>0</v>
      </c>
      <c r="C41" s="26">
        <v>0</v>
      </c>
    </row>
    <row r="42" spans="1:3" x14ac:dyDescent="0.3">
      <c r="A42" s="19" t="s">
        <v>174</v>
      </c>
      <c r="B42" s="26">
        <v>0</v>
      </c>
      <c r="C42" s="26">
        <v>1</v>
      </c>
    </row>
    <row r="43" spans="1:3" x14ac:dyDescent="0.3">
      <c r="A43" s="19" t="s">
        <v>173</v>
      </c>
      <c r="B43" s="26">
        <v>1</v>
      </c>
      <c r="C43" s="26">
        <v>1</v>
      </c>
    </row>
    <row r="44" spans="1:3" x14ac:dyDescent="0.3">
      <c r="A44" s="19" t="s">
        <v>175</v>
      </c>
      <c r="B44" s="26">
        <v>0</v>
      </c>
      <c r="C44" s="26">
        <v>4</v>
      </c>
    </row>
    <row r="45" spans="1:3" x14ac:dyDescent="0.3">
      <c r="A45" s="19" t="s">
        <v>222</v>
      </c>
      <c r="B45" s="26">
        <v>0</v>
      </c>
      <c r="C45" s="26">
        <v>3</v>
      </c>
    </row>
    <row r="46" spans="1:3" x14ac:dyDescent="0.3">
      <c r="A46" s="19" t="s">
        <v>176</v>
      </c>
      <c r="B46" s="26">
        <v>0</v>
      </c>
      <c r="C46" s="26">
        <v>2</v>
      </c>
    </row>
    <row r="47" spans="1:3" x14ac:dyDescent="0.3">
      <c r="A47" s="19" t="s">
        <v>178</v>
      </c>
      <c r="B47" s="26">
        <v>0</v>
      </c>
      <c r="C47" s="26">
        <v>1</v>
      </c>
    </row>
    <row r="48" spans="1:3" x14ac:dyDescent="0.3">
      <c r="A48" s="19" t="s">
        <v>177</v>
      </c>
      <c r="B48" s="26">
        <v>0</v>
      </c>
      <c r="C48" s="26">
        <v>0</v>
      </c>
    </row>
    <row r="49" spans="1:3" x14ac:dyDescent="0.3">
      <c r="A49" s="19" t="s">
        <v>179</v>
      </c>
      <c r="B49" s="26">
        <v>0</v>
      </c>
      <c r="C49" s="26">
        <v>1</v>
      </c>
    </row>
    <row r="50" spans="1:3" x14ac:dyDescent="0.3">
      <c r="A50" s="19" t="s">
        <v>180</v>
      </c>
      <c r="B50" s="26">
        <v>0</v>
      </c>
      <c r="C50" s="26">
        <v>7</v>
      </c>
    </row>
    <row r="51" spans="1:3" x14ac:dyDescent="0.3">
      <c r="A51" s="19" t="s">
        <v>181</v>
      </c>
      <c r="B51" s="26">
        <v>0</v>
      </c>
      <c r="C51" s="26">
        <v>1</v>
      </c>
    </row>
    <row r="52" spans="1:3" x14ac:dyDescent="0.3">
      <c r="A52" s="19" t="s">
        <v>182</v>
      </c>
      <c r="B52" s="26">
        <v>0</v>
      </c>
      <c r="C52" s="26">
        <v>1</v>
      </c>
    </row>
    <row r="53" spans="1:3" x14ac:dyDescent="0.3">
      <c r="A53" s="19" t="s">
        <v>183</v>
      </c>
      <c r="B53" s="26">
        <v>0</v>
      </c>
      <c r="C53" s="26">
        <v>1</v>
      </c>
    </row>
    <row r="54" spans="1:3" x14ac:dyDescent="0.3">
      <c r="A54" s="19" t="s">
        <v>184</v>
      </c>
      <c r="B54" s="26">
        <v>0</v>
      </c>
      <c r="C54" s="26">
        <v>1</v>
      </c>
    </row>
    <row r="55" spans="1:3" x14ac:dyDescent="0.3">
      <c r="A55" s="19" t="s">
        <v>185</v>
      </c>
      <c r="B55" s="26">
        <v>0</v>
      </c>
      <c r="C55" s="26">
        <v>1</v>
      </c>
    </row>
    <row r="56" spans="1:3" x14ac:dyDescent="0.3">
      <c r="A56" s="19" t="s">
        <v>186</v>
      </c>
      <c r="B56" s="26">
        <v>0</v>
      </c>
      <c r="C56" s="26">
        <v>1</v>
      </c>
    </row>
    <row r="57" spans="1:3" x14ac:dyDescent="0.3">
      <c r="A57" s="19" t="s">
        <v>187</v>
      </c>
      <c r="B57" s="26">
        <v>0</v>
      </c>
      <c r="C57" s="26">
        <v>1</v>
      </c>
    </row>
    <row r="58" spans="1:3" x14ac:dyDescent="0.3">
      <c r="A58" s="19" t="s">
        <v>188</v>
      </c>
      <c r="B58" s="26">
        <v>0</v>
      </c>
      <c r="C58" s="26">
        <v>1</v>
      </c>
    </row>
    <row r="59" spans="1:3" x14ac:dyDescent="0.3">
      <c r="A59" s="19" t="s">
        <v>189</v>
      </c>
      <c r="B59" s="26">
        <v>0</v>
      </c>
      <c r="C59" s="26">
        <v>1</v>
      </c>
    </row>
    <row r="60" spans="1:3" x14ac:dyDescent="0.3">
      <c r="A60" s="19" t="s">
        <v>190</v>
      </c>
      <c r="B60" s="26">
        <v>1</v>
      </c>
      <c r="C60" s="26">
        <v>3</v>
      </c>
    </row>
    <row r="61" spans="1:3" x14ac:dyDescent="0.3">
      <c r="A61" s="19" t="s">
        <v>191</v>
      </c>
      <c r="B61" s="26">
        <v>1</v>
      </c>
      <c r="C61" s="26">
        <v>2</v>
      </c>
    </row>
    <row r="62" spans="1:3" x14ac:dyDescent="0.3">
      <c r="A62" s="19" t="s">
        <v>192</v>
      </c>
      <c r="B62" s="26">
        <v>0</v>
      </c>
      <c r="C62" s="26">
        <v>1</v>
      </c>
    </row>
    <row r="63" spans="1:3" x14ac:dyDescent="0.3">
      <c r="A63" s="19" t="s">
        <v>193</v>
      </c>
      <c r="B63" s="26">
        <v>0</v>
      </c>
      <c r="C63" s="26">
        <v>7</v>
      </c>
    </row>
    <row r="64" spans="1:3" x14ac:dyDescent="0.3">
      <c r="A64" s="19" t="s">
        <v>142</v>
      </c>
      <c r="B64" s="26">
        <v>20</v>
      </c>
      <c r="C64" s="26">
        <v>20</v>
      </c>
    </row>
    <row r="65" spans="1:3" x14ac:dyDescent="0.3">
      <c r="A65" s="19" t="s">
        <v>194</v>
      </c>
      <c r="B65" s="26">
        <v>0</v>
      </c>
      <c r="C65" s="26">
        <v>4</v>
      </c>
    </row>
    <row r="66" spans="1:3" x14ac:dyDescent="0.3">
      <c r="A66" s="19" t="s">
        <v>195</v>
      </c>
      <c r="B66" s="26">
        <v>0</v>
      </c>
      <c r="C66" s="26">
        <v>1</v>
      </c>
    </row>
    <row r="67" spans="1:3" x14ac:dyDescent="0.3">
      <c r="A67" s="19" t="s">
        <v>196</v>
      </c>
      <c r="B67" s="26">
        <v>0</v>
      </c>
      <c r="C67" s="26">
        <v>0</v>
      </c>
    </row>
    <row r="68" spans="1:3" x14ac:dyDescent="0.3">
      <c r="A68" s="19" t="s">
        <v>197</v>
      </c>
      <c r="B68" s="26">
        <v>0</v>
      </c>
      <c r="C68" s="26">
        <v>4</v>
      </c>
    </row>
    <row r="69" spans="1:3" x14ac:dyDescent="0.3">
      <c r="A69" s="19" t="s">
        <v>198</v>
      </c>
      <c r="B69" s="26">
        <v>0</v>
      </c>
      <c r="C69" s="26">
        <v>1</v>
      </c>
    </row>
    <row r="70" spans="1:3" x14ac:dyDescent="0.3">
      <c r="A70" s="19" t="s">
        <v>199</v>
      </c>
      <c r="B70" s="26">
        <v>0</v>
      </c>
      <c r="C70" s="26">
        <v>3</v>
      </c>
    </row>
    <row r="71" spans="1:3" x14ac:dyDescent="0.3">
      <c r="A71" s="19" t="s">
        <v>200</v>
      </c>
      <c r="B71" s="26">
        <v>0</v>
      </c>
      <c r="C71" s="26">
        <v>4</v>
      </c>
    </row>
    <row r="72" spans="1:3" x14ac:dyDescent="0.3">
      <c r="A72" s="19" t="s">
        <v>201</v>
      </c>
      <c r="B72" s="26">
        <v>0</v>
      </c>
      <c r="C72" s="26">
        <v>1</v>
      </c>
    </row>
    <row r="73" spans="1:3" x14ac:dyDescent="0.3">
      <c r="A73" s="19" t="s">
        <v>202</v>
      </c>
      <c r="B73" s="26">
        <v>0</v>
      </c>
      <c r="C73" s="26">
        <v>3</v>
      </c>
    </row>
    <row r="74" spans="1:3" x14ac:dyDescent="0.3">
      <c r="A74" s="19" t="s">
        <v>143</v>
      </c>
      <c r="B74" s="26">
        <v>20</v>
      </c>
      <c r="C74" s="26">
        <v>20</v>
      </c>
    </row>
    <row r="75" spans="1:3" x14ac:dyDescent="0.3">
      <c r="A75" s="19" t="s">
        <v>203</v>
      </c>
      <c r="B75" s="26">
        <v>0</v>
      </c>
      <c r="C75" s="26">
        <v>1</v>
      </c>
    </row>
    <row r="76" spans="1:3" x14ac:dyDescent="0.3">
      <c r="A76" s="19" t="s">
        <v>204</v>
      </c>
      <c r="B76" s="26">
        <v>0</v>
      </c>
      <c r="C76" s="26">
        <v>0</v>
      </c>
    </row>
    <row r="77" spans="1:3" x14ac:dyDescent="0.3">
      <c r="A77" s="19" t="s">
        <v>205</v>
      </c>
      <c r="B77" s="26">
        <v>0</v>
      </c>
      <c r="C77" s="26">
        <v>1</v>
      </c>
    </row>
    <row r="78" spans="1:3" x14ac:dyDescent="0.3">
      <c r="A78" s="19" t="s">
        <v>206</v>
      </c>
      <c r="B78" s="26">
        <v>0</v>
      </c>
      <c r="C78" s="26">
        <v>1</v>
      </c>
    </row>
    <row r="79" spans="1:3" x14ac:dyDescent="0.3">
      <c r="A79" s="19" t="s">
        <v>207</v>
      </c>
      <c r="B79" s="26">
        <v>0</v>
      </c>
      <c r="C79" s="26">
        <v>0</v>
      </c>
    </row>
    <row r="80" spans="1:3" x14ac:dyDescent="0.3">
      <c r="A80" s="19" t="s">
        <v>208</v>
      </c>
      <c r="B80" s="26">
        <v>0</v>
      </c>
      <c r="C80" s="26">
        <v>0</v>
      </c>
    </row>
    <row r="81" spans="1:3" x14ac:dyDescent="0.3">
      <c r="A81" s="19" t="s">
        <v>209</v>
      </c>
      <c r="B81" s="26">
        <v>23</v>
      </c>
      <c r="C81" s="26">
        <v>31</v>
      </c>
    </row>
    <row r="82" spans="1:3" x14ac:dyDescent="0.3">
      <c r="A82" s="19" t="s">
        <v>210</v>
      </c>
      <c r="B82" s="26">
        <v>0</v>
      </c>
      <c r="C82" s="26">
        <v>1</v>
      </c>
    </row>
    <row r="83" spans="1:3" x14ac:dyDescent="0.3">
      <c r="A83" s="19" t="s">
        <v>211</v>
      </c>
      <c r="B83" s="26">
        <v>0</v>
      </c>
      <c r="C83" s="26">
        <v>4</v>
      </c>
    </row>
    <row r="84" spans="1:3" x14ac:dyDescent="0.3">
      <c r="A84" s="19" t="s">
        <v>212</v>
      </c>
      <c r="B84" s="26">
        <v>0</v>
      </c>
      <c r="C84" s="26">
        <v>32</v>
      </c>
    </row>
    <row r="85" spans="1:3" x14ac:dyDescent="0.3">
      <c r="A85" s="19" t="s">
        <v>213</v>
      </c>
      <c r="B85" s="26">
        <v>0</v>
      </c>
      <c r="C85" s="26">
        <v>2</v>
      </c>
    </row>
    <row r="86" spans="1:3" x14ac:dyDescent="0.3">
      <c r="A86" s="19" t="s">
        <v>214</v>
      </c>
      <c r="B86" s="26">
        <v>0</v>
      </c>
      <c r="C86" s="26">
        <v>8</v>
      </c>
    </row>
    <row r="87" spans="1:3" x14ac:dyDescent="0.3">
      <c r="A87" s="19" t="s">
        <v>215</v>
      </c>
      <c r="B87" s="26">
        <v>0</v>
      </c>
      <c r="C87" s="26">
        <v>1</v>
      </c>
    </row>
    <row r="88" spans="1:3" x14ac:dyDescent="0.3">
      <c r="A88" s="19" t="s">
        <v>216</v>
      </c>
      <c r="B88" s="26">
        <v>0</v>
      </c>
      <c r="C88" s="26">
        <v>20</v>
      </c>
    </row>
    <row r="89" spans="1:3" x14ac:dyDescent="0.3">
      <c r="A89" s="19" t="s">
        <v>217</v>
      </c>
      <c r="B89" s="26">
        <v>0</v>
      </c>
      <c r="C89" s="26">
        <v>1</v>
      </c>
    </row>
    <row r="90" spans="1:3" x14ac:dyDescent="0.3">
      <c r="A90" s="19" t="s">
        <v>218</v>
      </c>
      <c r="B90" s="26">
        <v>0</v>
      </c>
      <c r="C90" s="26">
        <v>0</v>
      </c>
    </row>
    <row r="91" spans="1:3" x14ac:dyDescent="0.3">
      <c r="A91" s="19" t="s">
        <v>219</v>
      </c>
      <c r="B91" s="26">
        <v>0</v>
      </c>
      <c r="C91" s="26">
        <v>2</v>
      </c>
    </row>
    <row r="92" spans="1:3" ht="15" thickBot="1" x14ac:dyDescent="0.35">
      <c r="A92" s="20" t="s">
        <v>230</v>
      </c>
      <c r="B92" s="27" t="s">
        <v>227</v>
      </c>
      <c r="C92" s="27" t="s">
        <v>231</v>
      </c>
    </row>
  </sheetData>
  <mergeCells count="1">
    <mergeCell ref="A2:B2"/>
  </mergeCells>
  <dataValidations count="1">
    <dataValidation allowBlank="1" showInputMessage="1" showErrorMessage="1" promptTitle="Note" prompt="The actual XOSC limit is 44 MHz, but 44 is difficult to work with in a PLL." sqref="C39" xr:uid="{00000000-0002-0000-0A00-000000000000}"/>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8963CFBCF784E41A63D9182F16AA9A5" ma:contentTypeVersion="1" ma:contentTypeDescription="Create a new document." ma:contentTypeScope="" ma:versionID="dad0fa17a918f69084d576e61f318f28">
  <xsd:schema xmlns:xsd="http://www.w3.org/2001/XMLSchema" xmlns:xs="http://www.w3.org/2001/XMLSchema" xmlns:p="http://schemas.microsoft.com/office/2006/metadata/properties" xmlns:ns3="cc4f0714-531f-455a-8952-664ba21f1403" targetNamespace="http://schemas.microsoft.com/office/2006/metadata/properties" ma:root="true" ma:fieldsID="ed13484c58562ebf7ff0f1dbf23c18bb" ns3:_="">
    <xsd:import namespace="cc4f0714-531f-455a-8952-664ba21f1403"/>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4f0714-531f-455a-8952-664ba21f140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C9F553-53EF-4EB9-8B6F-283EA8D446A3}">
  <ds:schemaRefs>
    <ds:schemaRef ds:uri="http://schemas.microsoft.com/sharepoint/v3/contenttype/forms"/>
  </ds:schemaRefs>
</ds:datastoreItem>
</file>

<file path=customXml/itemProps2.xml><?xml version="1.0" encoding="utf-8"?>
<ds:datastoreItem xmlns:ds="http://schemas.openxmlformats.org/officeDocument/2006/customXml" ds:itemID="{257242F8-4BC4-492F-9154-12DDEE9078C5}">
  <ds:schemaRefs>
    <ds:schemaRef ds:uri="http://schemas.microsoft.com/office/2006/documentManagement/types"/>
    <ds:schemaRef ds:uri="http://www.w3.org/XML/1998/namespace"/>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cc4f0714-531f-455a-8952-664ba21f1403"/>
    <ds:schemaRef ds:uri="http://purl.org/dc/dcmitype/"/>
  </ds:schemaRefs>
</ds:datastoreItem>
</file>

<file path=customXml/itemProps3.xml><?xml version="1.0" encoding="utf-8"?>
<ds:datastoreItem xmlns:ds="http://schemas.openxmlformats.org/officeDocument/2006/customXml" ds:itemID="{CC971144-5455-4E20-8A47-B3BDE2B86D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4f0714-531f-455a-8952-664ba21f14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Tree</vt:lpstr>
      <vt:lpstr>Oscillator Control</vt:lpstr>
      <vt:lpstr>Peripheral Domains</vt:lpstr>
      <vt:lpstr>LFAST Clocking</vt:lpstr>
      <vt:lpstr>PLL0</vt:lpstr>
      <vt:lpstr>pll0_phi</vt:lpstr>
      <vt:lpstr>pll0_phi1</vt:lpstr>
      <vt:lpstr>PLL1</vt:lpstr>
      <vt:lpstr>pll1_phi</vt:lpstr>
      <vt:lpstr>Summary</vt:lpstr>
      <vt:lpstr>Limits</vt:lpstr>
    </vt:vector>
  </TitlesOfParts>
  <Company>Freescale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Reipold</dc:creator>
  <cp:lastModifiedBy>Karsten Steingass</cp:lastModifiedBy>
  <dcterms:created xsi:type="dcterms:W3CDTF">2012-06-29T20:41:31Z</dcterms:created>
  <dcterms:modified xsi:type="dcterms:W3CDTF">2018-02-13T14:14:34Z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0x01010068963CFBCF784E41A63D9182F16AA9A5</vt:lpwstr>
  </property>
</Properties>
</file>